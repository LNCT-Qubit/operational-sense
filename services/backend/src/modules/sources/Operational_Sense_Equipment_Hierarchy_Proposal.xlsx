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Hierarchy" sheetId="3" state="visible" r:id="rId5"/>
    <sheet name="Component_Map" sheetId="4" state="visible" r:id="rId6"/>
    <sheet name="Case_Link" sheetId="5" state="visible" r:id="rId7"/>
    <sheet name="Open_Issues" sheetId="6" state="visible" r:id="rId8"/>
  </sheets>
  <definedNames>
    <definedName function="false" hidden="true" localSheetId="4" name="_xlnm._FilterDatabase" vbProcedure="false">Case_Link!$A$1:$I$1</definedName>
    <definedName function="false" hidden="true" localSheetId="3" name="_xlnm._FilterDatabase" vbProcedure="false">Component_Map!$A$1:$P$1</definedName>
    <definedName function="false" hidden="true" localSheetId="2" name="_xlnm._FilterDatabase" vbProcedure="false">Hierarchy!$A$1:$N$1</definedName>
    <definedName function="false" hidden="true" localSheetId="5" name="_xlnm._FilterDatabase" vbProcedure="false">Open_Issues!$A$1:$F$1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<sst xmlns="http://schemas.openxmlformats.org/spreadsheetml/2006/main" count="2175" uniqueCount="679">
  <si>
    <t xml:space="preserve">Operational Sense - Equipment Hierarchy Proposal (DRAFT v0.1)</t>
  </si>
  <si>
    <t xml:space="preserve">Group 1 - Industrial Knowledge Base. Built from Operational_Sense_Industrial_Knowledge_Base_g1.xlsx (Failure_Mode_Taxonomy, Taxonomy_Proposed, Import_View).</t>
  </si>
  <si>
    <t xml:space="preserve">Status</t>
  </si>
  <si>
    <t xml:space="preserve">DRAFT proposal for team review. Nothing here is approved by M01/M02 or by Groups 2 and 3.</t>
  </si>
  <si>
    <t xml:space="preserve">Source data</t>
  </si>
  <si>
    <t xml:space="preserve">Rows marked 'In taxonomy' come from Failure_Mode_Taxonomy. Rows marked 'Proposed (not approved)' come from Taxonomy_Proposed (11 cases with no taxonomy entry). Merge proposals for subsystems are this sheet's own suggestion; see Open_Issues.</t>
  </si>
  <si>
    <t xml:space="preserve">No new engineering content</t>
  </si>
  <si>
    <t xml:space="preserve">Descriptions are copied from the source workbook. Cases are synthetic; no OEM manual or practitioner review is behind them.</t>
  </si>
  <si>
    <t xml:space="preserve">Sheets</t>
  </si>
  <si>
    <t xml:space="preserve">Summary</t>
  </si>
  <si>
    <t xml:space="preserve">Counts per class and integrity checks (formulas).</t>
  </si>
  <si>
    <t xml:space="preserve">Hierarchy</t>
  </si>
  <si>
    <t xml:space="preserve">All nodes, levels 1-5, with parent_id. Load this for the parent-child structure.</t>
  </si>
  <si>
    <t xml:space="preserve">Component_Map</t>
  </si>
  <si>
    <t xml:space="preserve">One row per component + failure mode, with taxonomy code, status and linked case count (formula).</t>
  </si>
  <si>
    <t xml:space="preserve">Case_Link</t>
  </si>
  <si>
    <t xml:space="preserve">Each of the 50 cases linked to its component through the taxonomy code (formula lookup).</t>
  </si>
  <si>
    <t xml:space="preserve">Open_Issues</t>
  </si>
  <si>
    <t xml:space="preserve">Decisions the team must take before this is final.</t>
  </si>
  <si>
    <t xml:space="preserve">Hierarchy levels</t>
  </si>
  <si>
    <t xml:space="preserve">Level</t>
  </si>
  <si>
    <t xml:space="preserve">Operational Sense name</t>
  </si>
  <si>
    <t xml:space="preserve">Nearest ISO 14224 concept (from memory - VERIFY against the standard)</t>
  </si>
  <si>
    <t xml:space="preserve">1</t>
  </si>
  <si>
    <t xml:space="preserve">Equipment class (EQ-PUMP, EQ-MOTOR, EQ-COMP)</t>
  </si>
  <si>
    <t xml:space="preserve">Equipment class</t>
  </si>
  <si>
    <t xml:space="preserve">2</t>
  </si>
  <si>
    <t xml:space="preserve">Equipment type (TY-...)</t>
  </si>
  <si>
    <t xml:space="preserve">Equipment type within the class</t>
  </si>
  <si>
    <t xml:space="preserve">3</t>
  </si>
  <si>
    <t xml:space="preserve">Subsystem (SS-...)</t>
  </si>
  <si>
    <t xml:space="preserve">Subunit</t>
  </si>
  <si>
    <t xml:space="preserve">4</t>
  </si>
  <si>
    <t xml:space="preserve">Component (CP-...)</t>
  </si>
  <si>
    <t xml:space="preserve">Component / maintainable item</t>
  </si>
  <si>
    <t xml:space="preserve">5</t>
  </si>
  <si>
    <t xml:space="preserve">Failure mode (MD-...)</t>
  </si>
  <si>
    <t xml:space="preserve">Attribute of a failure record, not a hierarchy level in ISO; shown as a leaf so it can be filtered</t>
  </si>
  <si>
    <t xml:space="preserve">ID conventions</t>
  </si>
  <si>
    <t xml:space="preserve">Class</t>
  </si>
  <si>
    <t xml:space="preserve">EQ-&lt;CLASS&gt;</t>
  </si>
  <si>
    <t xml:space="preserve">Existing IDs, unchanged (already used as equipment_class_id).</t>
  </si>
  <si>
    <t xml:space="preserve">Type / subsystem / component</t>
  </si>
  <si>
    <t xml:space="preserve">TY-&lt;CLASS&gt;-&lt;TYPE&gt;, SS-&lt;CLASS&gt;-&lt;SUB&gt;, CP-&lt;CLASS&gt;-&lt;SUB&gt;-&lt;nn&gt;</t>
  </si>
  <si>
    <t xml:space="preserve">New IDs proposed here.</t>
  </si>
  <si>
    <t xml:space="preserve">Failure mode</t>
  </si>
  <si>
    <t xml:space="preserve">MD-&lt;CLASS&gt;-&lt;SUB&gt;-&lt;nn&gt;-&lt;nn&gt;</t>
  </si>
  <si>
    <t xml:space="preserve">Prefix MD- chosen on purpose so it never clashes with the project-local FM-xxx vocabulary IDs.</t>
  </si>
  <si>
    <t xml:space="preserve">Taxonomy code</t>
  </si>
  <si>
    <t xml:space="preserve">Kept exactly as in the source workbook (e.g. PUMP.BRNG.ROLL, ELEC.MOT.STAT).</t>
  </si>
  <si>
    <t xml:space="preserve">Pattern is inconsistent between pumps/compressors and motors; see Open_Issues #3.</t>
  </si>
  <si>
    <t xml:space="preserve">Legend</t>
  </si>
  <si>
    <t xml:space="preserve">Amber fill</t>
  </si>
  <si>
    <t xml:space="preserve">Proposed (not approved) - comes from Taxonomy_Proposed or is a new subsystem.</t>
  </si>
  <si>
    <t xml:space="preserve">Blue / green fill</t>
  </si>
  <si>
    <t xml:space="preserve">Class / type rows in the Hierarchy sheet.</t>
  </si>
  <si>
    <t xml:space="preserve">Summary (all values are formulas on the Hierarchy / Case_Link sheets)</t>
  </si>
  <si>
    <t xml:space="preserve">class_id</t>
  </si>
  <si>
    <t xml:space="preserve">Subsystems</t>
  </si>
  <si>
    <t xml:space="preserve">Components</t>
  </si>
  <si>
    <t xml:space="preserve">of which proposed</t>
  </si>
  <si>
    <t xml:space="preserve">Failure modes</t>
  </si>
  <si>
    <t xml:space="preserve">Cases linked</t>
  </si>
  <si>
    <t xml:space="preserve">Pump</t>
  </si>
  <si>
    <t xml:space="preserve">EQ-PUMP</t>
  </si>
  <si>
    <t xml:space="preserve">Electric Motor</t>
  </si>
  <si>
    <t xml:space="preserve">EQ-MOTOR</t>
  </si>
  <si>
    <t xml:space="preserve">Compressor</t>
  </si>
  <si>
    <t xml:space="preserve">EQ-COMP</t>
  </si>
  <si>
    <t xml:space="preserve">Total</t>
  </si>
  <si>
    <t xml:space="preserve">Integrity checks (expected result in column C)</t>
  </si>
  <si>
    <t xml:space="preserve">Nodes whose parent_id does not exist</t>
  </si>
  <si>
    <t xml:space="preserve">Duplicate node_id values</t>
  </si>
  <si>
    <t xml:space="preserve">Duplicate taxonomy codes (components)</t>
  </si>
  <si>
    <t xml:space="preserve">Cases not linked to a component</t>
  </si>
  <si>
    <t xml:space="preserve">Components with no linked case</t>
  </si>
  <si>
    <t xml:space="preserve">info</t>
  </si>
  <si>
    <t xml:space="preserve">Components with no linked case is informational. Today every component has at least one case, so any component added later without a case will show up here.</t>
  </si>
  <si>
    <t xml:space="preserve">node_id</t>
  </si>
  <si>
    <t xml:space="preserve">parent_id</t>
  </si>
  <si>
    <t xml:space="preserve">level</t>
  </si>
  <si>
    <t xml:space="preserve">level_name</t>
  </si>
  <si>
    <t xml:space="preserve">node_name</t>
  </si>
  <si>
    <t xml:space="preserve">subsystem_id</t>
  </si>
  <si>
    <t xml:space="preserve">taxonomy_code</t>
  </si>
  <si>
    <t xml:space="preserve">iso_fm_code_candidate (VERIFY)</t>
  </si>
  <si>
    <t xml:space="preserve">status</t>
  </si>
  <si>
    <t xml:space="preserve">source_subsystem</t>
  </si>
  <si>
    <t xml:space="preserve">source_component</t>
  </si>
  <si>
    <t xml:space="preserve">description (from source)</t>
  </si>
  <si>
    <t xml:space="preserve">note</t>
  </si>
  <si>
    <t xml:space="preserve">In taxonomy</t>
  </si>
  <si>
    <t xml:space="preserve">Class ID already used as equipment_class_id in Import_View.</t>
  </si>
  <si>
    <t xml:space="preserve">TY-PUMP-CENT</t>
  </si>
  <si>
    <t xml:space="preserve">Equipment type</t>
  </si>
  <si>
    <t xml:space="preserve">Centrifugal pump</t>
  </si>
  <si>
    <t xml:space="preserve">Workbook currently labels this as 'Equipment Class'.</t>
  </si>
  <si>
    <t xml:space="preserve">SS-PUMP-BRNG</t>
  </si>
  <si>
    <t xml:space="preserve">Subsystem</t>
  </si>
  <si>
    <t xml:space="preserve">Bearing Assembly</t>
  </si>
  <si>
    <t xml:space="preserve">CP-PUMP-BRNG-01</t>
  </si>
  <si>
    <t xml:space="preserve">Component</t>
  </si>
  <si>
    <t xml:space="preserve">Rolling Element Bearing</t>
  </si>
  <si>
    <t xml:space="preserve">PUMP.BRNG.ROLL</t>
  </si>
  <si>
    <t xml:space="preserve">MD-PUMP-BRNG-01-01</t>
  </si>
  <si>
    <t xml:space="preserve">Bearing Wear</t>
  </si>
  <si>
    <t xml:space="preserve">VIB</t>
  </si>
  <si>
    <t xml:space="preserve">Progressive spalling and pitting of raceways and rolling elements under cyclic contact stress, increasing internal clearance and friction.</t>
  </si>
  <si>
    <t xml:space="preserve">CP-PUMP-BRNG-02</t>
  </si>
  <si>
    <t xml:space="preserve">Bearing Housing Isolators / Lip Seals</t>
  </si>
  <si>
    <t xml:space="preserve">PUMP.BRNG.SEAL</t>
  </si>
  <si>
    <t xml:space="preserve">MD-PUMP-BRNG-02-01</t>
  </si>
  <si>
    <t xml:space="preserve">Bearing Housing Seal Failure</t>
  </si>
  <si>
    <t xml:space="preserve">ELU</t>
  </si>
  <si>
    <t xml:space="preserve">Worn lip seals or isolators let lubricant escape and let dust or moisture enter the bearing housing.</t>
  </si>
  <si>
    <t xml:space="preserve">SS-PUMP-SEAL</t>
  </si>
  <si>
    <t xml:space="preserve">Mechanical Seal</t>
  </si>
  <si>
    <t xml:space="preserve">CP-PUMP-SEAL-01</t>
  </si>
  <si>
    <t xml:space="preserve">Seal Faces (Rotating / Stationary)</t>
  </si>
  <si>
    <t xml:space="preserve">PUMP.SEAL.FACE</t>
  </si>
  <si>
    <t xml:space="preserve">MD-PUMP-SEAL-01-01</t>
  </si>
  <si>
    <t xml:space="preserve">Seal Face Leakage</t>
  </si>
  <si>
    <t xml:space="preserve">ELP</t>
  </si>
  <si>
    <t xml:space="preserve">Loss of lapped seal-face contact through wear, thermal cracking, dry running or elastomer hardening, allowing process fluid to escape along the shaft.</t>
  </si>
  <si>
    <t xml:space="preserve">SS-PUMP-HYDR</t>
  </si>
  <si>
    <t xml:space="preserve">Hydraulic End</t>
  </si>
  <si>
    <t xml:space="preserve">CP-PUMP-HYDR-01</t>
  </si>
  <si>
    <t xml:space="preserve">Impeller</t>
  </si>
  <si>
    <t xml:space="preserve">PUMP.HYDR.IMPL</t>
  </si>
  <si>
    <t xml:space="preserve">MD-PUMP-HYDR-01-01</t>
  </si>
  <si>
    <t xml:space="preserve">Cavitation</t>
  </si>
  <si>
    <t xml:space="preserve">NOI</t>
  </si>
  <si>
    <t xml:space="preserve">Vapour bubbles form when local pressure falls below fluid vapour pressure and collapse violently on impeller surfaces, causing pitting and pressure pulsation.</t>
  </si>
  <si>
    <t xml:space="preserve">CP-PUMP-HYDR-02</t>
  </si>
  <si>
    <t xml:space="preserve">Impeller and Wear Rings</t>
  </si>
  <si>
    <t xml:space="preserve">PUMP.HYDR.WEAR</t>
  </si>
  <si>
    <t xml:space="preserve">MD-PUMP-HYDR-02-01</t>
  </si>
  <si>
    <t xml:space="preserve">Impeller / Wear Ring Wear</t>
  </si>
  <si>
    <t xml:space="preserve">LOO</t>
  </si>
  <si>
    <t xml:space="preserve">Erosion or corrosion of vane tips and growth of wear-ring clearance, creating internal recirculation and reduced hydraulic efficiency.</t>
  </si>
  <si>
    <t xml:space="preserve">CP-PUMP-HYDR-03</t>
  </si>
  <si>
    <t xml:space="preserve">Impeller and Casing Volute</t>
  </si>
  <si>
    <t xml:space="preserve">PUMP.HYDR.RECR</t>
  </si>
  <si>
    <t xml:space="preserve">MD-PUMP-HYDR-03-01</t>
  </si>
  <si>
    <t xml:space="preserve">Low-Flow Recirculation</t>
  </si>
  <si>
    <t xml:space="preserve">Operation well below best efficiency flow produces flow separation and recirculation at impeller inlet and outlet, causing pressure pulsation and radial load.</t>
  </si>
  <si>
    <t xml:space="preserve">CP-PUMP-HYDR-04</t>
  </si>
  <si>
    <t xml:space="preserve">Impeller Flow Passage</t>
  </si>
  <si>
    <t xml:space="preserve">PUMP.HYDR.BLKG</t>
  </si>
  <si>
    <t xml:space="preserve">Proposed (not approved)</t>
  </si>
  <si>
    <t xml:space="preserve">MD-PUMP-HYDR-04-01</t>
  </si>
  <si>
    <t xml:space="preserve">Impeller Passage Blockage (Foreign Material)</t>
  </si>
  <si>
    <t xml:space="preserve">PLU</t>
  </si>
  <si>
    <t xml:space="preserve">CP-PUMP-HYDR-05</t>
  </si>
  <si>
    <t xml:space="preserve">Pump-System Duty Point</t>
  </si>
  <si>
    <t xml:space="preserve">PUMP.HYDR.RNOT</t>
  </si>
  <si>
    <t xml:space="preserve">MD-PUMP-HYDR-05-01</t>
  </si>
  <si>
    <t xml:space="preserve">Operation Far Right of Duty Point (High-Flow Runout)</t>
  </si>
  <si>
    <t xml:space="preserve">HIO</t>
  </si>
  <si>
    <t xml:space="preserve">SS-PUMP-DRVT</t>
  </si>
  <si>
    <t xml:space="preserve">Drive Train</t>
  </si>
  <si>
    <t xml:space="preserve">CP-PUMP-DRVT-01</t>
  </si>
  <si>
    <t xml:space="preserve">Flexible Coupling</t>
  </si>
  <si>
    <t xml:space="preserve">PUMP.DRVT.CPLG</t>
  </si>
  <si>
    <t xml:space="preserve">MD-PUMP-DRVT-01-01</t>
  </si>
  <si>
    <t xml:space="preserve">Coupling Misalignment</t>
  </si>
  <si>
    <t xml:space="preserve">Angular or parallel offset between pump and driver shafts imposing cyclic loads on coupling elements, bearings and seals.</t>
  </si>
  <si>
    <t xml:space="preserve">CP-PUMP-DRVT-02</t>
  </si>
  <si>
    <t xml:space="preserve">Pump Rotating Assembly / Motor Protection</t>
  </si>
  <si>
    <t xml:space="preserve">PUMP.DRVT.OVLD</t>
  </si>
  <si>
    <t xml:space="preserve">MD-PUMP-DRVT-02-01</t>
  </si>
  <si>
    <t xml:space="preserve">Mechanical Overload or Binding Causing Protective Trip</t>
  </si>
  <si>
    <t xml:space="preserve">UST</t>
  </si>
  <si>
    <t xml:space="preserve">SS-PUMP-SUCT</t>
  </si>
  <si>
    <t xml:space="preserve">Suction System</t>
  </si>
  <si>
    <t xml:space="preserve">Suction Line + Suction and Priming</t>
  </si>
  <si>
    <t xml:space="preserve">Merge proposal: combines source subsystems Suction Line + Suction and Priming.</t>
  </si>
  <si>
    <t xml:space="preserve">CP-PUMP-SUCT-01</t>
  </si>
  <si>
    <t xml:space="preserve">Suction Strainer</t>
  </si>
  <si>
    <t xml:space="preserve">PUMP.SUCT.STRN</t>
  </si>
  <si>
    <t xml:space="preserve">Suction Line</t>
  </si>
  <si>
    <t xml:space="preserve">MD-PUMP-SUCT-01-01</t>
  </si>
  <si>
    <t xml:space="preserve">Strainer Blockage</t>
  </si>
  <si>
    <t xml:space="preserve">Debris accumulation restricts suction flow and lowers pump inlet pressure.</t>
  </si>
  <si>
    <t xml:space="preserve">CP-PUMP-SUCT-02</t>
  </si>
  <si>
    <t xml:space="preserve">Suction Line Joints and Gland Seal Interface</t>
  </si>
  <si>
    <t xml:space="preserve">PUMP.SUCT.PRIM</t>
  </si>
  <si>
    <t xml:space="preserve">Suction and Priming</t>
  </si>
  <si>
    <t xml:space="preserve">MD-PUMP-SUCT-02-01</t>
  </si>
  <si>
    <t xml:space="preserve">Air Ingress / Loss of Prime</t>
  </si>
  <si>
    <t xml:space="preserve">Air drawn through leaking suction joints or seal interface collects at the impeller eye, breaking the liquid column (gas binding).</t>
  </si>
  <si>
    <t xml:space="preserve">SS-PUMP-SHFT</t>
  </si>
  <si>
    <t xml:space="preserve">Shaft Assembly</t>
  </si>
  <si>
    <t xml:space="preserve">CP-PUMP-SHFT-01</t>
  </si>
  <si>
    <t xml:space="preserve">Pump Shaft</t>
  </si>
  <si>
    <t xml:space="preserve">PUMP.SHFT.SHAF</t>
  </si>
  <si>
    <t xml:space="preserve">MD-PUMP-SHFT-01-01</t>
  </si>
  <si>
    <t xml:space="preserve">Shaft Fatigue Fracture</t>
  </si>
  <si>
    <t xml:space="preserve">STD</t>
  </si>
  <si>
    <t xml:space="preserve">Crack initiation at stress raisers (keyway, step, sleeve end) under rotating bending, then propagation to fracture.</t>
  </si>
  <si>
    <t xml:space="preserve">TY-MOTOR-IND</t>
  </si>
  <si>
    <t xml:space="preserve">Three-phase induction motor</t>
  </si>
  <si>
    <t xml:space="preserve">SS-MOT-STAT</t>
  </si>
  <si>
    <t xml:space="preserve">Stator and Windings</t>
  </si>
  <si>
    <t xml:space="preserve">Stator &amp; Windings</t>
  </si>
  <si>
    <t xml:space="preserve">CP-MOT-STAT-01</t>
  </si>
  <si>
    <t xml:space="preserve">Winding Insulation (Copper Magnet Wire and Varnish)</t>
  </si>
  <si>
    <t xml:space="preserve">ELEC.MOT.STAT</t>
  </si>
  <si>
    <t xml:space="preserve">MD-MOT-STAT-01-01</t>
  </si>
  <si>
    <t xml:space="preserve">Insulation Breakdown</t>
  </si>
  <si>
    <t xml:space="preserve">BRD</t>
  </si>
  <si>
    <t xml:space="preserve">Thermal, electrical or contamination-driven degradation of winding insulation leading to turn-to-turn, phase-to-phase or ground faults.</t>
  </si>
  <si>
    <t xml:space="preserve">SS-MOT-BRNG</t>
  </si>
  <si>
    <t xml:space="preserve">CP-MOT-BRNG-01</t>
  </si>
  <si>
    <t xml:space="preserve">Drive-End Bearing and Grease</t>
  </si>
  <si>
    <t xml:space="preserve">ELEC.MOT.BRNG</t>
  </si>
  <si>
    <t xml:space="preserve">MD-MOT-BRNG-01-01</t>
  </si>
  <si>
    <t xml:space="preserve">Bearing Overheating (Lubrication Failure)</t>
  </si>
  <si>
    <t xml:space="preserve">OHE</t>
  </si>
  <si>
    <t xml:space="preserve">Loss of effective lubricant film from degraded, insufficient or excess grease causes metal contact and heat rise.</t>
  </si>
  <si>
    <t xml:space="preserve">CP-MOT-BRNG-02</t>
  </si>
  <si>
    <t xml:space="preserve">Bearing (Inverter-Fed Shaft Currents)</t>
  </si>
  <si>
    <t xml:space="preserve">ELEC.MOT.BRDC</t>
  </si>
  <si>
    <t xml:space="preserve">MD-MOT-BRNG-02-01</t>
  </si>
  <si>
    <t xml:space="preserve">Bearing Electrical Discharge Damage (Fluting)</t>
  </si>
  <si>
    <t xml:space="preserve">High-frequency common-mode currents from variable-speed drives discharge through the bearing, etching raceways with fluting.</t>
  </si>
  <si>
    <t xml:space="preserve">SS-MOT-ROTR</t>
  </si>
  <si>
    <t xml:space="preserve">Rotor Assembly</t>
  </si>
  <si>
    <t xml:space="preserve">CP-MOT-ROTR-01</t>
  </si>
  <si>
    <t xml:space="preserve">Squirrel-Cage Rotor Bars and End Rings</t>
  </si>
  <si>
    <t xml:space="preserve">ELEC.MOT.ROTR</t>
  </si>
  <si>
    <t xml:space="preserve">MD-MOT-ROTR-01-01</t>
  </si>
  <si>
    <t xml:space="preserve">Broken Rotor Bar</t>
  </si>
  <si>
    <t xml:space="preserve">Cracking or fracture of rotor bars or end rings from thermal and mechanical stress during starts and high-inertia loads.</t>
  </si>
  <si>
    <t xml:space="preserve">CP-MOT-ROTR-02</t>
  </si>
  <si>
    <t xml:space="preserve">Rotor Core and Shaft</t>
  </si>
  <si>
    <t xml:space="preserve">ELEC.MOT.IMBL</t>
  </si>
  <si>
    <t xml:space="preserve">MD-MOT-ROTR-02-01</t>
  </si>
  <si>
    <t xml:space="preserve">Rotor Imbalance</t>
  </si>
  <si>
    <t xml:space="preserve">Uneven mass distribution about the rotor axis produces a centrifugal force at running speed.</t>
  </si>
  <si>
    <t xml:space="preserve">SS-MOT-COOL</t>
  </si>
  <si>
    <t xml:space="preserve">Cooling System</t>
  </si>
  <si>
    <t xml:space="preserve">CP-MOT-COOL-01</t>
  </si>
  <si>
    <t xml:space="preserve">Cooling Fan and Cowl</t>
  </si>
  <si>
    <t xml:space="preserve">ELEC.MOT.COOL</t>
  </si>
  <si>
    <t xml:space="preserve">MD-MOT-COOL-01-01</t>
  </si>
  <si>
    <t xml:space="preserve">Cooling Airflow Blockage</t>
  </si>
  <si>
    <t xml:space="preserve">Reduced convective cooling because of clogged fins or cowl, or a damaged fan, raising winding temperature.</t>
  </si>
  <si>
    <t xml:space="preserve">SS-MOT-TERM</t>
  </si>
  <si>
    <t xml:space="preserve">Terminal Box</t>
  </si>
  <si>
    <t xml:space="preserve">CP-MOT-TERM-01</t>
  </si>
  <si>
    <t xml:space="preserve">Terminal Lugs and Connections</t>
  </si>
  <si>
    <t xml:space="preserve">ELEC.MOT.TERM</t>
  </si>
  <si>
    <t xml:space="preserve">MD-MOT-TERM-01-01</t>
  </si>
  <si>
    <t xml:space="preserve">Loose Electrical Connection</t>
  </si>
  <si>
    <t xml:space="preserve">Loose or oxidised terminal joints add contact resistance, causing localised heating and unbalanced phase current.</t>
  </si>
  <si>
    <t xml:space="preserve">SS-MOT-MNTG</t>
  </si>
  <si>
    <t xml:space="preserve">Mounting and Foundation</t>
  </si>
  <si>
    <t xml:space="preserve">CP-MOT-MNTG-01</t>
  </si>
  <si>
    <t xml:space="preserve">Motor Feet and Foundation Bolts</t>
  </si>
  <si>
    <t xml:space="preserve">ELEC.MOT.FEET</t>
  </si>
  <si>
    <t xml:space="preserve">MD-MOT-MNTG-01-01</t>
  </si>
  <si>
    <t xml:space="preserve">Soft Foot / Mechanical Looseness</t>
  </si>
  <si>
    <t xml:space="preserve">Uneven or loose foot contact distorts the frame and alters bearing alignment, raising vibration.</t>
  </si>
  <si>
    <t xml:space="preserve">SS-MOT-SUPP</t>
  </si>
  <si>
    <t xml:space="preserve">Starter, Protection and Power Supply</t>
  </si>
  <si>
    <t xml:space="preserve">Power Supply + Protection + Starter and Supply</t>
  </si>
  <si>
    <t xml:space="preserve">Merge proposal: combines source subsystems Power Supply + Protection + Starter and Supply.</t>
  </si>
  <si>
    <t xml:space="preserve">CP-MOT-SUPP-01</t>
  </si>
  <si>
    <t xml:space="preserve">Supply Phase Conductors, Fuses and Contactor</t>
  </si>
  <si>
    <t xml:space="preserve">ELEC.MOT.SUPP</t>
  </si>
  <si>
    <t xml:space="preserve">Power Supply</t>
  </si>
  <si>
    <t xml:space="preserve">MD-MOT-SUPP-01-01</t>
  </si>
  <si>
    <t xml:space="preserve">Single-Phasing (Phase Loss)</t>
  </si>
  <si>
    <t xml:space="preserve">PDE</t>
  </si>
  <si>
    <t xml:space="preserve">Loss of one supply phase leaves the motor on two phases, producing severe current imbalance and negative-sequence heating.</t>
  </si>
  <si>
    <t xml:space="preserve">CP-MOT-SUPP-02</t>
  </si>
  <si>
    <t xml:space="preserve">Thermal Overload Relay</t>
  </si>
  <si>
    <t xml:space="preserve">ELEC.MOT.STRT</t>
  </si>
  <si>
    <t xml:space="preserve">Starter and Supply</t>
  </si>
  <si>
    <t xml:space="preserve">MD-MOT-SUPP-02-01</t>
  </si>
  <si>
    <t xml:space="preserve">Overload Relay Trip Preventing Start</t>
  </si>
  <si>
    <t xml:space="preserve">FTS</t>
  </si>
  <si>
    <t xml:space="preserve">CP-MOT-SUPP-03</t>
  </si>
  <si>
    <t xml:space="preserve">Overload Protection</t>
  </si>
  <si>
    <t xml:space="preserve">ELEC.MOT.OVLD</t>
  </si>
  <si>
    <t xml:space="preserve">Protection</t>
  </si>
  <si>
    <t xml:space="preserve">MD-MOT-SUPP-03-01</t>
  </si>
  <si>
    <t xml:space="preserve">Repeated Overload Trips from Excess Driven Load</t>
  </si>
  <si>
    <t xml:space="preserve">SS-MOT-AGAP</t>
  </si>
  <si>
    <t xml:space="preserve">Rotor-Stator Interface (Air Gap)</t>
  </si>
  <si>
    <t xml:space="preserve">Rotor-Stator Interface</t>
  </si>
  <si>
    <t xml:space="preserve">CP-MOT-AGAP-01</t>
  </si>
  <si>
    <t xml:space="preserve">Air Gap (Rotor and Stator Core)</t>
  </si>
  <si>
    <t xml:space="preserve">ELEC.MOT.AGAP</t>
  </si>
  <si>
    <t xml:space="preserve">MD-MOT-AGAP-01-01</t>
  </si>
  <si>
    <t xml:space="preserve">Air-Gap Eccentricity / Rotor-Stator Rub</t>
  </si>
  <si>
    <t xml:space="preserve">Uneven air gap from bearing wear, shaft bow or frame distortion creates unbalanced magnetic pull and can lead to rotor-stator contact.</t>
  </si>
  <si>
    <t xml:space="preserve">SS-MOT-DRIV</t>
  </si>
  <si>
    <t xml:space="preserve">Drive and Speed Control (VFD)</t>
  </si>
  <si>
    <t xml:space="preserve">Drive and Speed Control</t>
  </si>
  <si>
    <t xml:space="preserve">New subsystem; no entry in Failure_Mode_Taxonomy.</t>
  </si>
  <si>
    <t xml:space="preserve">CP-MOT-DRIV-01</t>
  </si>
  <si>
    <t xml:space="preserve">VFD Speed Feedback</t>
  </si>
  <si>
    <t xml:space="preserve">ELEC.MOT.VFDF</t>
  </si>
  <si>
    <t xml:space="preserve">MD-MOT-DRIV-01-01</t>
  </si>
  <si>
    <t xml:space="preserve">Speed Feedback Signal Fault (Speed Fluctuation)</t>
  </si>
  <si>
    <t xml:space="preserve">ERO</t>
  </si>
  <si>
    <t xml:space="preserve">SS-MOT-CPLG</t>
  </si>
  <si>
    <t xml:space="preserve">Coupling</t>
  </si>
  <si>
    <t xml:space="preserve">CP-MOT-CPLG-01</t>
  </si>
  <si>
    <t xml:space="preserve">Motor-Load Coupling</t>
  </si>
  <si>
    <t xml:space="preserve">ELEC.MOT.CPLG</t>
  </si>
  <si>
    <t xml:space="preserve">MD-MOT-CPLG-01-01</t>
  </si>
  <si>
    <t xml:space="preserve">Shaft Misalignment</t>
  </si>
  <si>
    <t xml:space="preserve">TY-COMP-SCREW</t>
  </si>
  <si>
    <t xml:space="preserve">Rotary screw air compressor</t>
  </si>
  <si>
    <t xml:space="preserve">SS-COMP-AEND</t>
  </si>
  <si>
    <t xml:space="preserve">Air End</t>
  </si>
  <si>
    <t xml:space="preserve">CP-COMP-AEND-01</t>
  </si>
  <si>
    <t xml:space="preserve">Rotor Screws (Male / Female)</t>
  </si>
  <si>
    <t xml:space="preserve">COMP.AEND.ROTR</t>
  </si>
  <si>
    <t xml:space="preserve">MD-COMP-AEND-01-01</t>
  </si>
  <si>
    <t xml:space="preserve">Rotor Wear / Clearance Increase</t>
  </si>
  <si>
    <t xml:space="preserve">Gradual loss of rotor profile and sealing clearance from contamination or oil-film breakdown, increasing internal leakage.</t>
  </si>
  <si>
    <t xml:space="preserve">CP-COMP-AEND-02</t>
  </si>
  <si>
    <t xml:space="preserve">Air End Bearings</t>
  </si>
  <si>
    <t xml:space="preserve">COMP.AEND.BRNG</t>
  </si>
  <si>
    <t xml:space="preserve">MD-COMP-AEND-02-01</t>
  </si>
  <si>
    <t xml:space="preserve">Air End Bearing Failure</t>
  </si>
  <si>
    <t xml:space="preserve">Rotor shaft bearings wear or spall from contaminated oil, overload or oil starvation, letting rotors move axially or radially.</t>
  </si>
  <si>
    <t xml:space="preserve">SS-COMP-OSEP</t>
  </si>
  <si>
    <t xml:space="preserve">Oil Separation and Air-Oil Circuit</t>
  </si>
  <si>
    <t xml:space="preserve">Air-Oil Circuit + Oil Separation System</t>
  </si>
  <si>
    <t xml:space="preserve">Merge proposal: combines source subsystems Air-Oil Circuit + Oil Separation System.</t>
  </si>
  <si>
    <t xml:space="preserve">CP-COMP-OSEP-01</t>
  </si>
  <si>
    <t xml:space="preserve">Oil Separator Element</t>
  </si>
  <si>
    <t xml:space="preserve">COMP.OSEP.ELEM</t>
  </si>
  <si>
    <t xml:space="preserve">Oil Separation System</t>
  </si>
  <si>
    <t xml:space="preserve">MD-COMP-OSEP-01-01</t>
  </si>
  <si>
    <t xml:space="preserve">Separator Element Clogging</t>
  </si>
  <si>
    <t xml:space="preserve">Coalescing media loads with contaminants, raising differential pressure across the element.</t>
  </si>
  <si>
    <t xml:space="preserve">CP-COMP-OSEP-02</t>
  </si>
  <si>
    <t xml:space="preserve">Minimum Pressure Valve</t>
  </si>
  <si>
    <t xml:space="preserve">COMP.VALV.MPV</t>
  </si>
  <si>
    <t xml:space="preserve">Air-Oil Circuit</t>
  </si>
  <si>
    <t xml:space="preserve">MD-COMP-OSEP-02-01</t>
  </si>
  <si>
    <t xml:space="preserve">Minimum Pressure Valve Leakage / Sticking</t>
  </si>
  <si>
    <t xml:space="preserve">INL</t>
  </si>
  <si>
    <t xml:space="preserve">Valve fails to seal or open at set pressure, causing backflow or poor pressure retention in the separator vessel.</t>
  </si>
  <si>
    <t xml:space="preserve">SS-COMP-INTK</t>
  </si>
  <si>
    <t xml:space="preserve">Air Intake</t>
  </si>
  <si>
    <t xml:space="preserve">CP-COMP-INTK-01</t>
  </si>
  <si>
    <t xml:space="preserve">Intake Air Filter</t>
  </si>
  <si>
    <t xml:space="preserve">COMP.INTK.FILT</t>
  </si>
  <si>
    <t xml:space="preserve">MD-COMP-INTK-01-01</t>
  </si>
  <si>
    <t xml:space="preserve">Clogged Air Filter</t>
  </si>
  <si>
    <t xml:space="preserve">Dust loading of filter media restricts intake flow and raises intake vacuum.</t>
  </si>
  <si>
    <t xml:space="preserve">SS-COMP-COOL</t>
  </si>
  <si>
    <t xml:space="preserve">CP-COMP-COOL-01</t>
  </si>
  <si>
    <t xml:space="preserve">Oil Cooler / Aftercooler</t>
  </si>
  <si>
    <t xml:space="preserve">COMP.COOL.COLR</t>
  </si>
  <si>
    <t xml:space="preserve">MD-COMP-COOL-01-01</t>
  </si>
  <si>
    <t xml:space="preserve">Cooler Fouling</t>
  </si>
  <si>
    <t xml:space="preserve">Fouled fins or tubes and poor ventilation reduce heat rejection from oil and compressed air.</t>
  </si>
  <si>
    <t xml:space="preserve">SS-COMP-CCTL</t>
  </si>
  <si>
    <t xml:space="preserve">Capacity Control</t>
  </si>
  <si>
    <t xml:space="preserve">CP-COMP-CCTL-01</t>
  </si>
  <si>
    <t xml:space="preserve">Inlet / Unloader Valve</t>
  </si>
  <si>
    <t xml:space="preserve">COMP.VALV.UNL</t>
  </si>
  <si>
    <t xml:space="preserve">MD-COMP-CCTL-01-01</t>
  </si>
  <si>
    <t xml:space="preserve">Unloader Valve Sticking</t>
  </si>
  <si>
    <t xml:space="preserve">FTF</t>
  </si>
  <si>
    <t xml:space="preserve">Inlet valve piston or seal sticks or leaks, so capacity control cannot load or unload the compressor correctly.</t>
  </si>
  <si>
    <t xml:space="preserve">CP-COMP-CCTL-02</t>
  </si>
  <si>
    <t xml:space="preserve">Solenoid Valve (Load / Unload)</t>
  </si>
  <si>
    <t xml:space="preserve">COMP.VALV.SOL</t>
  </si>
  <si>
    <t xml:space="preserve">MD-COMP-CCTL-02-01</t>
  </si>
  <si>
    <t xml:space="preserve">Solenoid Valve Failure</t>
  </si>
  <si>
    <t xml:space="preserve">Coil burnout or sticking plunger prevents the control-air signal from switching the inlet valve.</t>
  </si>
  <si>
    <t xml:space="preserve">SS-COMP-OILS</t>
  </si>
  <si>
    <t xml:space="preserve">Oil System (Lubrication)</t>
  </si>
  <si>
    <t xml:space="preserve">Oil System</t>
  </si>
  <si>
    <t xml:space="preserve">CP-COMP-OILS-01</t>
  </si>
  <si>
    <t xml:space="preserve">Thermostatic (Temperature Control) Valve</t>
  </si>
  <si>
    <t xml:space="preserve">COMP.OILS.THRM</t>
  </si>
  <si>
    <t xml:space="preserve">MD-COMP-OILS-01-01</t>
  </si>
  <si>
    <t xml:space="preserve">Thermostatic Valve Sticking</t>
  </si>
  <si>
    <t xml:space="preserve">Thermostatic element sticks open or closed, so oil is over-cooled or not routed through the cooler.</t>
  </si>
  <si>
    <t xml:space="preserve">SS-COMP-CNDS</t>
  </si>
  <si>
    <t xml:space="preserve">Condensate Management</t>
  </si>
  <si>
    <t xml:space="preserve">CP-COMP-CNDS-01</t>
  </si>
  <si>
    <t xml:space="preserve">Automatic Condensate Drain</t>
  </si>
  <si>
    <t xml:space="preserve">COMP.COND.DRN</t>
  </si>
  <si>
    <t xml:space="preserve">MD-COMP-CNDS-01-01</t>
  </si>
  <si>
    <t xml:space="preserve">Condensate Drain Blockage</t>
  </si>
  <si>
    <t xml:space="preserve">Drain valve or strainer blocked, so condensate cannot leave the separator or receiver.</t>
  </si>
  <si>
    <t xml:space="preserve">SS-COMP-INST</t>
  </si>
  <si>
    <t xml:space="preserve">Controls and Instrumentation</t>
  </si>
  <si>
    <t xml:space="preserve">Controls and Instrumentation + Pressure Control</t>
  </si>
  <si>
    <t xml:space="preserve">Merge proposal: combines source subsystems Controls and Instrumentation + Pressure Control.</t>
  </si>
  <si>
    <t xml:space="preserve">CP-COMP-INST-01</t>
  </si>
  <si>
    <t xml:space="preserve">Pressure Switch / Control Differential</t>
  </si>
  <si>
    <t xml:space="preserve">COMP.CTRL.PSET</t>
  </si>
  <si>
    <t xml:space="preserve">Pressure Control</t>
  </si>
  <si>
    <t xml:space="preserve">MD-COMP-INST-01-01</t>
  </si>
  <si>
    <t xml:space="preserve">Incorrect Control Differential Setting (Frequent Cycling)</t>
  </si>
  <si>
    <t xml:space="preserve">SER</t>
  </si>
  <si>
    <t xml:space="preserve">CP-COMP-INST-02</t>
  </si>
  <si>
    <t xml:space="preserve">Pressure Sensor / Transmitter</t>
  </si>
  <si>
    <t xml:space="preserve">COMP.CTRL.PSEN</t>
  </si>
  <si>
    <t xml:space="preserve">MD-COMP-INST-02-01</t>
  </si>
  <si>
    <t xml:space="preserve">Pressure Sensor Drift or Malfunction</t>
  </si>
  <si>
    <t xml:space="preserve">AIR</t>
  </si>
  <si>
    <t xml:space="preserve">SS-COMP-MNTG</t>
  </si>
  <si>
    <t xml:space="preserve">CP-COMP-MNTG-01</t>
  </si>
  <si>
    <t xml:space="preserve">Mounting / Foundation Bolts</t>
  </si>
  <si>
    <t xml:space="preserve">COMP.MNTG.BOLT</t>
  </si>
  <si>
    <t xml:space="preserve">MD-COMP-MNTG-01-01</t>
  </si>
  <si>
    <t xml:space="preserve">Loose Mounting Bolts</t>
  </si>
  <si>
    <t xml:space="preserve">SS-COMP-DRVT</t>
  </si>
  <si>
    <t xml:space="preserve">CP-COMP-DRVT-01</t>
  </si>
  <si>
    <t xml:space="preserve">Drive Coupling Element</t>
  </si>
  <si>
    <t xml:space="preserve">COMP.DRVT.CPLG</t>
  </si>
  <si>
    <t xml:space="preserve">MD-COMP-DRVT-01-01</t>
  </si>
  <si>
    <t xml:space="preserve">Drive Coupling Element Wear</t>
  </si>
  <si>
    <t xml:space="preserve">component_id</t>
  </si>
  <si>
    <t xml:space="preserve">failure_mode_id</t>
  </si>
  <si>
    <t xml:space="preserve">equipment_type</t>
  </si>
  <si>
    <t xml:space="preserve">subsystem</t>
  </si>
  <si>
    <t xml:space="preserve">component</t>
  </si>
  <si>
    <t xml:space="preserve">failure_mode</t>
  </si>
  <si>
    <t xml:space="preserve">linked_cases (count)</t>
  </si>
  <si>
    <t xml:space="preserve">failure_effect (from source)</t>
  </si>
  <si>
    <t xml:space="preserve">failure_cause (from source / case)</t>
  </si>
  <si>
    <t xml:space="preserve">corrective_action (from source)</t>
  </si>
  <si>
    <t xml:space="preserve">Local: rising vibration, noise and bearing temperature. Plant: shaft deflection damages seal, risk of seizure and unplanned pump trip.</t>
  </si>
  <si>
    <t xml:space="preserve">Contaminated or degraded grease; over/under-lubrication; misalignment; moisture ingress; bearing operated beyond rated life.</t>
  </si>
  <si>
    <t xml:space="preserve">Replace bearings as a set; inspect shaft journals and housing fits; regrease with specified grade and quantity; re-align coupling; trend vibration after restart.</t>
  </si>
  <si>
    <t xml:space="preserve">Local: oil leakage at shaft, contaminated lubricant. Plant: accelerated bearing failure and repeat lubricant top-ups.</t>
  </si>
  <si>
    <t xml:space="preserve">Seal wear from shaft runout; damaged shaft surface; overfilled oil level; blocked breather causing pressure build-up.</t>
  </si>
  <si>
    <t xml:space="preserve">Replace isolators or lip seals; inspect shaft surface; correct oil level; clean breather; change contaminated lubricant.</t>
  </si>
  <si>
    <t xml:space="preserve">Local: visible leakage at gland, wet baseplate. Plant: product loss, bearing contamination, safety and environmental exposure.</t>
  </si>
  <si>
    <t xml:space="preserve">Dry running; shaft deflection or excessive vibration; abrasive solids; elastomer incompatibility; incorrect installation or flush plan.</t>
  </si>
  <si>
    <t xml:space="preserve">Isolate and depressurise; replace seal faces and elastomers as a set; check shaft sleeve runout; verify flush/quench arrangement per seal plan.</t>
  </si>
  <si>
    <t xml:space="preserve">Local: gravel-like noise, vibration, pitted vanes. Plant: head and flow drop, shortened pump life, unstable process supply.</t>
  </si>
  <si>
    <t xml:space="preserve">NPSH available below NPSH required plus margin; blocked suction; excessive suction lift; high fluid temperature; throttled suction valve.</t>
  </si>
  <si>
    <t xml:space="preserve">Clear suction restriction; fully open suction valve; reduce lift or fluid temperature; verify NPSHa margin; repair or replace pitted impeller.</t>
  </si>
  <si>
    <t xml:space="preserve">Local: lower discharge pressure and flow at same motor current. Plant: process under-supply and higher energy per unit flow.</t>
  </si>
  <si>
    <t xml:space="preserve">Abrasive particles in fluid; corrosion; extended run without clearance check; prolonged operation away from best efficiency point.</t>
  </si>
  <si>
    <t xml:space="preserve">Measure wear-ring clearance against OEM limits; replace rings; replace or re-trim impeller; review fluid filtration.</t>
  </si>
  <si>
    <t xml:space="preserve">Local: noise, vibration, elevated temperature. Plant: reduced bearing/seal life and risk of damage if throttled for long periods.</t>
  </si>
  <si>
    <t xml:space="preserve">Excessive throttling; oversized pump; wrong operating point after process change; closed or blocked discharge.</t>
  </si>
  <si>
    <t xml:space="preserve">Restore operation within the allowable operating region; fit minimum-flow bypass; trim impeller or use variable speed drive; check discharge valve position.</t>
  </si>
  <si>
    <t xml:space="preserve">Foreign material lodged in or near impeller, partially blocking vane passage (suspected, unconfirmed).</t>
  </si>
  <si>
    <t xml:space="preserve">Pump operating far right of its duty point (high-flow runout) (suspected, unconfirmed).</t>
  </si>
  <si>
    <t xml:space="preserve">Local: 1x/2x running-speed vibration, coupling element wear, warm bearings. Plant: premature bearing and seal failures, repeat maintenance.</t>
  </si>
  <si>
    <t xml:space="preserve">Poor alignment at installation; thermal growth; soft foot; pipe strain; worn inserts; loose foundation bolts.</t>
  </si>
  <si>
    <t xml:space="preserve">Laser-align to tolerance with hot-alignment allowance; correct soft foot and pipe strain; replace worn coupling elements; retorque bolts.</t>
  </si>
  <si>
    <t xml:space="preserve">Mechanical overload from abnormal operating conditions or mechanical binding (suspected, unconfirmed).</t>
  </si>
  <si>
    <t xml:space="preserve">Local: high suction vacuum, noise, onset of cavitation. Plant: flow reduction and risk of dry running.</t>
  </si>
  <si>
    <t xml:space="preserve">Debris or scale in sump or line; no cleaning schedule; fouled tank; construction debris after outage.</t>
  </si>
  <si>
    <t xml:space="preserve">Isolate and clean or replace strainer; flush suction line; fit differential-pressure indication across strainer.</t>
  </si>
  <si>
    <t xml:space="preserve">Local: fluctuating or zero discharge pressure, noisy running. Plant: loss of delivery and dry-running damage to seal.</t>
  </si>
  <si>
    <t xml:space="preserve">Loose or damaged flange gaskets; low sump level or vortexing; suction valve stem leakage; incomplete priming or venting.</t>
  </si>
  <si>
    <t xml:space="preserve">Re-make suction joints; restore sump level; vent and prime per procedure; test suction line for air leaks before restart.</t>
  </si>
  <si>
    <t xml:space="preserve">Local: sudden loss of drive, severe vibration beforehand, seal destruction. Plant: unplanned outage and long-lead repair.</t>
  </si>
  <si>
    <t xml:space="preserve">Chronic misalignment or unbalance; operation far from best efficiency point; corrosion fatigue; poor fillet radii or fretting at sleeve.</t>
  </si>
  <si>
    <t xml:space="preserve">Replace shaft; inspect keyways and shoulders by NDT; correct alignment and operating range; review shaft material and corrosion protection.</t>
  </si>
  <si>
    <t xml:space="preserve">Local: low insulation resistance, burning smell, current imbalance. Plant: earth-fault or overcurrent trip and process stoppage.</t>
  </si>
  <si>
    <t xml:space="preserve">Overvoltage or voltage spikes (including inverter dv/dt); chronic overheating; moisture and dust ingress; repeated starts.</t>
  </si>
  <si>
    <t xml:space="preserve">Test insulation resistance and polarisation index; rewind or replace motor; remove moisture source; review protection and starting duty.</t>
  </si>
  <si>
    <t xml:space="preserve">Local: temperature rise, noise, discoloured grease. Plant: seizure, rotor-stator rub and motor trip.</t>
  </si>
  <si>
    <t xml:space="preserve">Wrong grease type or quantity; over-greasing; lubricant beyond service life; high ambient temperature; excessive belt tension.</t>
  </si>
  <si>
    <t xml:space="preserve">Clean and regrease with correct grade and quantity; replace damaged bearing; check belt or coupling load; revise relubrication interval.</t>
  </si>
  <si>
    <t xml:space="preserve">Local: whining or growling noise, grey or fluted raceways. Plant: premature bearing failure on drive-fed motors.</t>
  </si>
  <si>
    <t xml:space="preserve">No shaft grounding or insulated bearing; poor drive cabling and earthing; high switching frequency.</t>
  </si>
  <si>
    <t xml:space="preserve">Fit insulated bearing or shaft-grounding ring; improve cable and earth bonding; replace bearing; review drive filtering.</t>
  </si>
  <si>
    <t xml:space="preserve">Local: speed fluctuation, pulsating current, current-spectrum sidebands, vibration. Plant: reduced torque and trip under load.</t>
  </si>
  <si>
    <t xml:space="preserve">Frequent direct-on-line starts; high-inertia load; casting defects; sustained overload.</t>
  </si>
  <si>
    <t xml:space="preserve">Confirm by motor current signature analysis; repair or replace rotor; review start frequency and loading.</t>
  </si>
  <si>
    <t xml:space="preserve">Local: 1x running-speed vibration, bearing loading. Plant: reduced bearing life and coupling wear.</t>
  </si>
  <si>
    <t xml:space="preserve">Lost balance weights; fan damage; uneven dirt build-up; poor balance after repair.</t>
  </si>
  <si>
    <t xml:space="preserve">Balance rotor in situ or in shop to specified grade; clean rotor and fan; replace damaged parts; verify vibration after restart.</t>
  </si>
  <si>
    <t xml:space="preserve">Local: casing and winding temperature rise. Plant: thermal overload trip and accelerated insulation ageing.</t>
  </si>
  <si>
    <t xml:space="preserve">Dust and lint build-up; damaged or loose fan; obstructed air inlet; high ambient temperature.</t>
  </si>
  <si>
    <t xml:space="preserve">Clean fins and cowl; replace damaged fan; clear obstructions; verify ambient temperature and ventilation.</t>
  </si>
  <si>
    <t xml:space="preserve">Local: hot spots, discoloured lugs, current imbalance. Plant: overload trip and potential winding damage.</t>
  </si>
  <si>
    <t xml:space="preserve">Vibration-loosened bolts; poor crimping; oxidation or corrosion; cable overloading.</t>
  </si>
  <si>
    <t xml:space="preserve">De-energise and lock out; clean and retorque connections; replace damaged lugs; verify balanced phase currents.</t>
  </si>
  <si>
    <t xml:space="preserve">Local: high 1x/2x vibration with directional differences. Plant: accelerated bearing wear and coupling damage.</t>
  </si>
  <si>
    <t xml:space="preserve">Loose or corroded bolts; uneven baseplate; cracked grout; incorrect shimming.</t>
  </si>
  <si>
    <t xml:space="preserve">Perform soft-foot check; shim and retorque; repair baseplate or grout; re-align to driven equipment.</t>
  </si>
  <si>
    <t xml:space="preserve">Local: humming, no start or reduced torque, high current in remaining phases. Plant: overload trip or winding burnout.</t>
  </si>
  <si>
    <t xml:space="preserve">Blown fuse; failed contactor pole; open conductor or loose lug; upstream supply fault.</t>
  </si>
  <si>
    <t xml:space="preserve">Isolate and trace the open phase; replace fuse/contactor contact; check winding insulation after event; verify phase-loss protection works.</t>
  </si>
  <si>
    <t xml:space="preserve">Overload relay tripped by sustained overcurrent or setting issue (suspected, unconfirmed).</t>
  </si>
  <si>
    <t xml:space="preserve">Excessive driven-equipment load (suspected, unconfirmed).</t>
  </si>
  <si>
    <t xml:space="preserve">Local: vibration at twice line frequency, noise, core damage. Plant: motor failure and extended outage.</t>
  </si>
  <si>
    <t xml:space="preserve">Worn bearings; bent shaft; soft foot; assembly error after repair.</t>
  </si>
  <si>
    <t xml:space="preserve">Measure air gap; replace bearings; straighten or replace shaft; correct mounting; inspect core and windings for rub damage.</t>
  </si>
  <si>
    <t xml:space="preserve">Faulty speed feedback signal (suspected, unconfirmed).</t>
  </si>
  <si>
    <t xml:space="preserve">Shaft misalignment (suspected, unconfirmed).</t>
  </si>
  <si>
    <t xml:space="preserve">Local: lower free-air delivery, higher discharge temperature and specific energy. Plant: loss of pressure and capacity.</t>
  </si>
  <si>
    <t xml:space="preserve">Dirty intake air; degraded or wrong oil; low oil level; extended service interval; bearing wear allowing rotor contact.</t>
  </si>
  <si>
    <t xml:space="preserve">Check oil quality and filtration; measure free-air delivery; overhaul or replace air end; correct oil and filter intervals.</t>
  </si>
  <si>
    <t xml:space="preserve">Local: noise, vibration, rising discharge temperature. Plant: rotor contact, air end seizure, major overhaul.</t>
  </si>
  <si>
    <t xml:space="preserve">Contaminated or degraded oil; blocked oil filter; low oil flow; overpressure operation; long service interval.</t>
  </si>
  <si>
    <t xml:space="preserve">Replace bearings and set rotor clearances (or exchange air end); change oil and filter; investigate oil supply and filtration.</t>
  </si>
  <si>
    <t xml:space="preserve">Local: high separator differential pressure and motor current. Plant: lower efficiency and oil carry-over if element fails.</t>
  </si>
  <si>
    <t xml:space="preserve">Service interval exceeded; varnished or degraded oil; poor intake filtration; high oil temperature.</t>
  </si>
  <si>
    <t xml:space="preserve">Replace separator element and oil filter; change oil if varnished; verify scavenge line and orifice are clear.</t>
  </si>
  <si>
    <t xml:space="preserve">Local: slow pressure build-up, oil carry-over, irregular blowdown. Plant: reduced delivery and unstable operation.</t>
  </si>
  <si>
    <t xml:space="preserve">Worn seat or spring; varnish deposits; debris in valve.</t>
  </si>
  <si>
    <t xml:space="preserve">Clean or replace valve kit; verify opening pressure; check oil quality and separator condition.</t>
  </si>
  <si>
    <t xml:space="preserve">Local: reduced inlet pressure, lower capacity, higher temperature. Plant: loss of delivered air flow and pressure.</t>
  </si>
  <si>
    <t xml:space="preserve">Dusty environment; overdue replacement; damaged filter seal allowing bypass.</t>
  </si>
  <si>
    <t xml:space="preserve">Replace filter element; inspect housing seals; shorten replacement interval in dusty areas.</t>
  </si>
  <si>
    <t xml:space="preserve">Local: high discharge air and oil temperature. Plant: high-temperature trip and accelerated oil degradation.</t>
  </si>
  <si>
    <t xml:space="preserve">Dirt on cooler core; blocked ventilation; high ambient temperature; failed cooling fan; low oil level.</t>
  </si>
  <si>
    <t xml:space="preserve">Clean cooler externally and internally; restore ventilation; check cooling fan; verify oil level and thermostatic valve.</t>
  </si>
  <si>
    <t xml:space="preserve">Local: compressor stays loaded at set pressure or fails to build pressure. Plant: pressure swings, wasted energy, relief valve lifting.</t>
  </si>
  <si>
    <t xml:space="preserve">Worn seals or piston; dirt or varnish in valve; faults in control-air line.</t>
  </si>
  <si>
    <t xml:space="preserve">Strip and clean valve; replace seal kit; check control-air tubing; verify load and unload setpoints.</t>
  </si>
  <si>
    <t xml:space="preserve">Local: compressor stays loaded or unloaded, frequent cycling or low pressure. Plant: unstable air supply and wasted energy.</t>
  </si>
  <si>
    <t xml:space="preserve">Coil failure; contaminated control air; worn plunger or seal; wiring fault.</t>
  </si>
  <si>
    <t xml:space="preserve">Check coil voltage and resistance; clean or replace valve; verify control-air quality; test load/unload sequence.</t>
  </si>
  <si>
    <t xml:space="preserve">Local: high discharge temperature if stuck closed to cooler; condensation in oil if stuck open. Plant: high-temperature trip or oil degradation.</t>
  </si>
  <si>
    <t xml:space="preserve">Wax element ageing; deposits or varnish; contaminated oil.</t>
  </si>
  <si>
    <t xml:space="preserve">Test and replace thermostatic element; clean valve body; change oil if contaminated.</t>
  </si>
  <si>
    <t xml:space="preserve">Local: water accumulation in receiver and lines. Plant: moisture in downstream air, corrosion and tool or process contamination.</t>
  </si>
  <si>
    <t xml:space="preserve">Debris or rust in drain; failed solenoid or float; no routine drain check.</t>
  </si>
  <si>
    <t xml:space="preserve">Clean or replace drain valve and strainer; test drain function; add routine drain checks.</t>
  </si>
  <si>
    <t xml:space="preserve">Incorrect control differential settings (suspected, unconfirmed).</t>
  </si>
  <si>
    <t xml:space="preserve">Pressure sensor drift/malfunction (suspected, unconfirmed).</t>
  </si>
  <si>
    <t xml:space="preserve">Loose mounting bolts (suspected, unconfirmed).</t>
  </si>
  <si>
    <t xml:space="preserve">Worn drive coupling (suspected, unconfirmed).</t>
  </si>
  <si>
    <t xml:space="preserve">Note: for 'Proposed' rows, failure_cause is the suspected cause stated in the linked case (unconfirmed), not a validated cause.</t>
  </si>
  <si>
    <t xml:space="preserve">case_id</t>
  </si>
  <si>
    <t xml:space="preserve">equipment_class_id</t>
  </si>
  <si>
    <t xml:space="preserve">taxonomy_code_in_workbook</t>
  </si>
  <si>
    <t xml:space="preserve">taxonomy_code_proposed</t>
  </si>
  <si>
    <t xml:space="preserve">taxonomy_code_used</t>
  </si>
  <si>
    <t xml:space="preserve">mapping_status</t>
  </si>
  <si>
    <t xml:space="preserve">fm_id_vocab</t>
  </si>
  <si>
    <t xml:space="preserve">component_id (lookup)</t>
  </si>
  <si>
    <t xml:space="preserve">component_name (lookup)</t>
  </si>
  <si>
    <t xml:space="preserve">CASE-PUMP-001</t>
  </si>
  <si>
    <t xml:space="preserve">MAPPED - cross-link provisional</t>
  </si>
  <si>
    <t xml:space="preserve">FM-051</t>
  </si>
  <si>
    <t xml:space="preserve">CASE-PUMP-002</t>
  </si>
  <si>
    <t xml:space="preserve">FM-032</t>
  </si>
  <si>
    <t xml:space="preserve">CASE-PUMP-003</t>
  </si>
  <si>
    <t xml:space="preserve">FM-018</t>
  </si>
  <si>
    <t xml:space="preserve">CASE-PUMP-004</t>
  </si>
  <si>
    <t xml:space="preserve">FM-030</t>
  </si>
  <si>
    <t xml:space="preserve">CASE-PUMP-005</t>
  </si>
  <si>
    <t xml:space="preserve">FM-003</t>
  </si>
  <si>
    <t xml:space="preserve">CASE-PUMP-006</t>
  </si>
  <si>
    <t xml:space="preserve">AMBIGUOUS - expert review</t>
  </si>
  <si>
    <t xml:space="preserve">CASE-PUMP-007</t>
  </si>
  <si>
    <t xml:space="preserve">FM-043</t>
  </si>
  <si>
    <t xml:space="preserve">CASE-PUMP-008</t>
  </si>
  <si>
    <t xml:space="preserve">FM-042</t>
  </si>
  <si>
    <t xml:space="preserve">CASE-PUMP-009</t>
  </si>
  <si>
    <t xml:space="preserve">FM-019</t>
  </si>
  <si>
    <t xml:space="preserve">CASE-PUMP-010</t>
  </si>
  <si>
    <t xml:space="preserve">FM-ID ONLY - FMEA_Taxonomy gap</t>
  </si>
  <si>
    <t xml:space="preserve">FM-050</t>
  </si>
  <si>
    <t xml:space="preserve">CASE-PUMP-011</t>
  </si>
  <si>
    <t xml:space="preserve">FM-017</t>
  </si>
  <si>
    <t xml:space="preserve">CASE-PUMP-012</t>
  </si>
  <si>
    <t xml:space="preserve">FM-048</t>
  </si>
  <si>
    <t xml:space="preserve">CASE-PUMP-013</t>
  </si>
  <si>
    <t xml:space="preserve">CASE-PUMP-014</t>
  </si>
  <si>
    <t xml:space="preserve">CASE-PUMP-015</t>
  </si>
  <si>
    <t xml:space="preserve">CASE-PUMP-016</t>
  </si>
  <si>
    <t xml:space="preserve">CASE-PUMP-017</t>
  </si>
  <si>
    <t xml:space="preserve">CASE-MOT-001</t>
  </si>
  <si>
    <t xml:space="preserve">FM-028</t>
  </si>
  <si>
    <t xml:space="preserve">CASE-MOT-002</t>
  </si>
  <si>
    <t xml:space="preserve">FM-035</t>
  </si>
  <si>
    <t xml:space="preserve">CASE-MOT-003</t>
  </si>
  <si>
    <t xml:space="preserve">FM-039</t>
  </si>
  <si>
    <t xml:space="preserve">CASE-MOT-004</t>
  </si>
  <si>
    <t xml:space="preserve">FM-037</t>
  </si>
  <si>
    <t xml:space="preserve">CASE-MOT-005</t>
  </si>
  <si>
    <t xml:space="preserve">FM-036</t>
  </si>
  <si>
    <t xml:space="preserve">CASE-MOT-006</t>
  </si>
  <si>
    <t xml:space="preserve">CASE-MOT-007</t>
  </si>
  <si>
    <t xml:space="preserve">FM-047</t>
  </si>
  <si>
    <t xml:space="preserve">CASE-MOT-008</t>
  </si>
  <si>
    <t xml:space="preserve">FM-038</t>
  </si>
  <si>
    <t xml:space="preserve">CASE-MOT-009</t>
  </si>
  <si>
    <t xml:space="preserve">CASE-MOT-010</t>
  </si>
  <si>
    <t xml:space="preserve">FM-041</t>
  </si>
  <si>
    <t xml:space="preserve">CASE-MOT-011</t>
  </si>
  <si>
    <t xml:space="preserve">FM-040</t>
  </si>
  <si>
    <t xml:space="preserve">CASE-MOT-012</t>
  </si>
  <si>
    <t xml:space="preserve">FM-034</t>
  </si>
  <si>
    <t xml:space="preserve">CASE-MOT-013</t>
  </si>
  <si>
    <t xml:space="preserve">CASE-MOT-014</t>
  </si>
  <si>
    <t xml:space="preserve">CASE-MOT-015</t>
  </si>
  <si>
    <t xml:space="preserve">CASE-MOT-016</t>
  </si>
  <si>
    <t xml:space="preserve">CASE-MOT-017</t>
  </si>
  <si>
    <t xml:space="preserve">CASE-COMP-001</t>
  </si>
  <si>
    <t xml:space="preserve">FM-029</t>
  </si>
  <si>
    <t xml:space="preserve">CASE-COMP-002</t>
  </si>
  <si>
    <t xml:space="preserve">FM-005</t>
  </si>
  <si>
    <t xml:space="preserve">CASE-COMP-003</t>
  </si>
  <si>
    <t xml:space="preserve">CASE-COMP-004</t>
  </si>
  <si>
    <t xml:space="preserve">CASE-COMP-005</t>
  </si>
  <si>
    <t xml:space="preserve">FM-016</t>
  </si>
  <si>
    <t xml:space="preserve">CASE-COMP-006</t>
  </si>
  <si>
    <t xml:space="preserve">FM-020</t>
  </si>
  <si>
    <t xml:space="preserve">CASE-COMP-007</t>
  </si>
  <si>
    <t xml:space="preserve">FM-012</t>
  </si>
  <si>
    <t xml:space="preserve">CASE-COMP-008</t>
  </si>
  <si>
    <t xml:space="preserve">FM-004</t>
  </si>
  <si>
    <t xml:space="preserve">CASE-COMP-009</t>
  </si>
  <si>
    <t xml:space="preserve">FM-013</t>
  </si>
  <si>
    <t xml:space="preserve">CASE-COMP-010</t>
  </si>
  <si>
    <t xml:space="preserve">FM-002</t>
  </si>
  <si>
    <t xml:space="preserve">CASE-COMP-011</t>
  </si>
  <si>
    <t xml:space="preserve">CASE-COMP-012</t>
  </si>
  <si>
    <t xml:space="preserve">CASE-COMP-013</t>
  </si>
  <si>
    <t xml:space="preserve">CASE-COMP-014</t>
  </si>
  <si>
    <t xml:space="preserve">CASE-COMP-015</t>
  </si>
  <si>
    <t xml:space="preserve">CASE-COMP-016</t>
  </si>
  <si>
    <t xml:space="preserve">#</t>
  </si>
  <si>
    <t xml:space="preserve">Issue</t>
  </si>
  <si>
    <t xml:space="preserve">Why it matters</t>
  </si>
  <si>
    <t xml:space="preserve">What this workbook currently assumes</t>
  </si>
  <si>
    <t xml:space="preserve">Suggested owner</t>
  </si>
  <si>
    <t xml:space="preserve">Class vs type</t>
  </si>
  <si>
    <t xml:space="preserve">The source workbook calls 'Centrifugal Pump' a class. In ISO 14224 terms the class is Pump and centrifugal is a type. Cases use equipment_class_id = EQ-PUMP etc.</t>
  </si>
  <si>
    <t xml:space="preserve">Adds a type level (TY-...). EQ-xxx IDs unchanged, so nothing in Import_View breaks. Class names become Pump / Electric Motor / Compressor.</t>
  </si>
  <si>
    <t xml:space="preserve">M01 / Group 2</t>
  </si>
  <si>
    <t xml:space="preserve">OPEN</t>
  </si>
  <si>
    <t xml:space="preserve">Subsystem merges</t>
  </si>
  <si>
    <t xml:space="preserve">Source subsystems overlap: pump Suction Line vs Suction and Priming; motor Power Supply vs Starter and Supply vs Protection; compressor Oil Separation System vs Air-Oil Circuit; compressor Pressure Control vs Controls and Instrumentation.</t>
  </si>
  <si>
    <t xml:space="preserve">Merged in the Hierarchy; the original names stay in source_subsystem so the merge can be reversed.</t>
  </si>
  <si>
    <t xml:space="preserve">M01 / M02</t>
  </si>
  <si>
    <t xml:space="preserve">Taxonomy code pattern</t>
  </si>
  <si>
    <t xml:space="preserve">Pump and compressor codes are CLASS.SUBSYSTEM.COMPONENT (PUMP.BRNG.ROLL). Motor codes are ELEC.MOT.&lt;x&gt; and do not carry the subsystem consistently. Group 2 will use codes as keys and Group 3 as filters.</t>
  </si>
  <si>
    <t xml:space="preserve">Codes left exactly as in the source. New node IDs follow one uniform pattern. A rename would need Group 2 and 3 agreement.</t>
  </si>
  <si>
    <t xml:space="preserve">Group 2 / M01</t>
  </si>
  <si>
    <t xml:space="preserve">Composite component names</t>
  </si>
  <si>
    <t xml:space="preserve">Some components bundle several parts: 'Impeller and Wear Rings', 'Impeller and Casing Volute', 'Suction Line Joints and Gland Seal Interface', 'Rotor Core and Shaft'. A component with several parts makes filtering ambiguous.</t>
  </si>
  <si>
    <t xml:space="preserve">Kept as in source. Recommendation: split into atomic components (Impeller, Wear Rings, Casing/Volute, ...) and point each failure mode at one.</t>
  </si>
  <si>
    <t xml:space="preserve">Equipment boundary (pump vs driver)</t>
  </si>
  <si>
    <t xml:space="preserve">Proposed CASE-PUMP-012 puts motor overload protection under the pump Drive Train. In ISO terms the driver is separate equipment. CASE-PUMP-011 (high-flow run-out) describes an operating point, not a component.</t>
  </si>
  <si>
    <t xml:space="preserve">Both kept as proposed rows, flagged. Suggest moving PUMP-012 to the motor Starter/Protection subsystem and treating PUMP-011 as an operating-condition tag or a mode on the Impeller.</t>
  </si>
  <si>
    <t xml:space="preserve">M01 / M03</t>
  </si>
  <si>
    <t xml:space="preserve">Overlap of MOT-004 and MOT-007</t>
  </si>
  <si>
    <t xml:space="preserve">Both describe an overload-relay trip. They are symptoms more than failure modes.</t>
  </si>
  <si>
    <t xml:space="preserve">Both kept under Starter, Protection and Power Supply as proposed rows.</t>
  </si>
  <si>
    <t xml:space="preserve">M02</t>
  </si>
  <si>
    <t xml:space="preserve">Motor bearing component name</t>
  </si>
  <si>
    <t xml:space="preserve">'Drive-End Bearing and Grease' is linked to CASE-MOT-002, whose symptom is the non-drive end. The name is too specific.</t>
  </si>
  <si>
    <t xml:space="preserve">Unchanged. Suggest 'Motor Bearings and Grease (DE/NDE)'.</t>
  </si>
  <si>
    <t xml:space="preserve">M03</t>
  </si>
  <si>
    <t xml:space="preserve">ISO failure-mode codes not verified</t>
  </si>
  <si>
    <t xml:space="preserve">iso_fm_code_candidate values (VIB, OHE, PLU, ...) come from the source workbook and Taxonomy_Proposed. The ISO 14224 full text has not been inspected and the codes are class-specific.</t>
  </si>
  <si>
    <t xml:space="preserve">Shown as candidates only. Do not publish as ISO codes until M01 checks Annex B.</t>
  </si>
  <si>
    <t xml:space="preserve">M01</t>
  </si>
  <si>
    <t xml:space="preserve">Failure mode vs symptom vs FM-xxx vocabulary</t>
  </si>
  <si>
    <t xml:space="preserve">Project-local FM-xxx IDs are not ISO codes and several are symptoms, not failure modes. 13 mappings are AMBIGUOUS and 11 cases have no taxonomy entry.</t>
  </si>
  <si>
    <t xml:space="preserve">Hierarchy uses its own MD- IDs and does not replace FM-xxx. Case_Link carries fm_id_vocab for reference.</t>
  </si>
  <si>
    <t xml:space="preserve">M01 / M02 / Group 2</t>
  </si>
  <si>
    <t xml:space="preserve">Coupling appears three times</t>
  </si>
  <si>
    <t xml:space="preserve">Pump Flexible Coupling, motor Coupling and compressor Drive Coupling Element are separate nodes with similar failure modes.</t>
  </si>
  <si>
    <t xml:space="preserve">Kept separate per class. A shared 'Coupling' component type could be defined later.</t>
  </si>
  <si>
    <t xml:space="preserve">Thermostatic valve placement</t>
  </si>
  <si>
    <t xml:space="preserve">Compressor thermostatic valve sits under Oil System in the source, but it regulates cooling.</t>
  </si>
  <si>
    <t xml:space="preserve">Unchanged from source.</t>
  </si>
  <si>
    <t xml:space="preserve">Level 5 is not an ISO hierarchy level</t>
  </si>
  <si>
    <t xml:space="preserve">In ISO 14224 failure mode is recorded on a failure event, not as an equipment level.</t>
  </si>
  <si>
    <t xml:space="preserve">Shown as leaves so the database can filter by failure mode; mapping note in ReadMe.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</si>
</sst>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2</v>
      </c>
      <c r="B5" s="4" t="s">
        <v>3</v>
      </c>
      <c r="C5" s="4"/>
    </row>
    <row r="6" customFormat="false" ht="46.25" hidden="false" customHeight="false" outlineLevel="0" collapsed="false">
      <c r="A6" s="4" t="s">
        <v>4</v>
      </c>
      <c r="B6" s="4" t="s">
        <v>5</v>
      </c>
      <c r="C6" s="4"/>
    </row>
    <row r="7" customFormat="false" ht="23.85" hidden="false" customHeight="false" outlineLevel="0" collapsed="false">
      <c r="A7" s="4" t="s">
        <v>6</v>
      </c>
      <c r="B7" s="4" t="s">
        <v>7</v>
      </c>
      <c r="C7" s="4"/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4" t="s">
        <v>9</v>
      </c>
      <c r="B10" s="4" t="s">
        <v>10</v>
      </c>
      <c r="C10" s="4"/>
    </row>
    <row r="11" customFormat="false" ht="15" hidden="false" customHeight="false" outlineLevel="0" collapsed="false">
      <c r="A11" s="4" t="s">
        <v>11</v>
      </c>
      <c r="B11" s="4" t="s">
        <v>12</v>
      </c>
      <c r="C11" s="4"/>
    </row>
    <row r="12" customFormat="false" ht="23.85" hidden="false" customHeight="false" outlineLevel="0" collapsed="false">
      <c r="A12" s="4" t="s">
        <v>13</v>
      </c>
      <c r="B12" s="4" t="s">
        <v>14</v>
      </c>
      <c r="C12" s="4"/>
    </row>
    <row r="13" customFormat="false" ht="23.85" hidden="false" customHeight="false" outlineLevel="0" collapsed="false">
      <c r="A13" s="4" t="s">
        <v>15</v>
      </c>
      <c r="B13" s="4" t="s">
        <v>16</v>
      </c>
      <c r="C13" s="4"/>
    </row>
    <row r="14" customFormat="false" ht="15" hidden="false" customHeight="false" outlineLevel="0" collapsed="false">
      <c r="A14" s="4" t="s">
        <v>17</v>
      </c>
      <c r="B14" s="4" t="s">
        <v>18</v>
      </c>
      <c r="C14" s="4"/>
    </row>
    <row r="16" customFormat="false" ht="15" hidden="false" customHeight="false" outlineLevel="0" collapsed="false">
      <c r="A16" s="3" t="s">
        <v>19</v>
      </c>
    </row>
    <row r="17" customFormat="false" ht="15" hidden="false" customHeight="false" outlineLevel="0" collapsed="false">
      <c r="A17" s="5" t="s">
        <v>20</v>
      </c>
      <c r="B17" s="5" t="s">
        <v>21</v>
      </c>
      <c r="C17" s="5" t="s">
        <v>22</v>
      </c>
    </row>
    <row r="18" customFormat="false" ht="15" hidden="false" customHeight="false" outlineLevel="0" collapsed="false">
      <c r="A18" s="4" t="s">
        <v>23</v>
      </c>
      <c r="B18" s="4" t="s">
        <v>24</v>
      </c>
      <c r="C18" s="4" t="s">
        <v>25</v>
      </c>
    </row>
    <row r="19" customFormat="false" ht="15" hidden="false" customHeight="false" outlineLevel="0" collapsed="false">
      <c r="A19" s="4" t="s">
        <v>26</v>
      </c>
      <c r="B19" s="4" t="s">
        <v>27</v>
      </c>
      <c r="C19" s="4" t="s">
        <v>28</v>
      </c>
    </row>
    <row r="20" customFormat="false" ht="15" hidden="false" customHeight="false" outlineLevel="0" collapsed="false">
      <c r="A20" s="4" t="s">
        <v>29</v>
      </c>
      <c r="B20" s="4" t="s">
        <v>30</v>
      </c>
      <c r="C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  <c r="C21" s="4" t="s">
        <v>34</v>
      </c>
    </row>
    <row r="22" customFormat="false" ht="23.85" hidden="false" customHeight="false" outlineLevel="0" collapsed="false">
      <c r="A22" s="4" t="s">
        <v>35</v>
      </c>
      <c r="B22" s="4" t="s">
        <v>36</v>
      </c>
      <c r="C22" s="4" t="s">
        <v>37</v>
      </c>
    </row>
    <row r="24" customFormat="false" ht="15" hidden="false" customHeight="false" outlineLevel="0" collapsed="false">
      <c r="A24" s="3" t="s">
        <v>38</v>
      </c>
    </row>
    <row r="25" customFormat="false" ht="15" hidden="false" customHeight="false" outlineLevel="0" collapsed="false">
      <c r="A25" s="4" t="s">
        <v>39</v>
      </c>
      <c r="B25" s="4" t="s">
        <v>40</v>
      </c>
      <c r="C25" s="4" t="s">
        <v>41</v>
      </c>
    </row>
    <row r="26" customFormat="false" ht="15" hidden="false" customHeight="false" outlineLevel="0" collapsed="false">
      <c r="A26" s="4" t="s">
        <v>42</v>
      </c>
      <c r="B26" s="4" t="s">
        <v>43</v>
      </c>
      <c r="C26" s="4" t="s">
        <v>44</v>
      </c>
    </row>
    <row r="27" customFormat="false" ht="23.85" hidden="false" customHeight="false" outlineLevel="0" collapsed="false">
      <c r="A27" s="4" t="s">
        <v>45</v>
      </c>
      <c r="B27" s="4" t="s">
        <v>46</v>
      </c>
      <c r="C27" s="4" t="s">
        <v>47</v>
      </c>
    </row>
    <row r="28" customFormat="false" ht="23.85" hidden="false" customHeight="false" outlineLevel="0" collapsed="false">
      <c r="A28" s="4" t="s">
        <v>48</v>
      </c>
      <c r="B28" s="4" t="s">
        <v>49</v>
      </c>
      <c r="C28" s="4" t="s">
        <v>50</v>
      </c>
    </row>
    <row r="30" customFormat="false" ht="15" hidden="false" customHeight="false" outlineLevel="0" collapsed="false">
      <c r="A30" s="3" t="s">
        <v>51</v>
      </c>
    </row>
    <row r="31" customFormat="false" ht="15" hidden="false" customHeight="false" outlineLevel="0" collapsed="false">
      <c r="A31" s="6" t="s">
        <v>52</v>
      </c>
      <c r="B31" s="7" t="s">
        <v>53</v>
      </c>
    </row>
    <row r="32" customFormat="false" ht="15" hidden="false" customHeight="false" outlineLevel="0" collapsed="false">
      <c r="A32" s="7" t="s">
        <v>54</v>
      </c>
      <c r="B32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8" t="s">
        <v>56</v>
      </c>
    </row>
    <row r="3" customFormat="false" ht="23.85" hidden="false" customHeight="false" outlineLevel="0" collapsed="false">
      <c r="A3" s="9" t="s">
        <v>39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</row>
    <row r="4" customFormat="false" ht="15" hidden="false" customHeight="false" outlineLevel="0" collapsed="false">
      <c r="A4" s="10" t="s">
        <v>63</v>
      </c>
      <c r="B4" s="10" t="s">
        <v>64</v>
      </c>
      <c r="C4" s="10" t="n">
        <f aca="false">COUNTIFS(Hierarchy!$F$2:$F$115,B4,Hierarchy!$C$2:$C$115,3)</f>
        <v>6</v>
      </c>
      <c r="D4" s="10" t="n">
        <f aca="false">COUNTIFS(Hierarchy!$F$2:$F$115,B4,Hierarchy!$C$2:$C$115,4)</f>
        <v>13</v>
      </c>
      <c r="E4" s="10" t="n">
        <f aca="false">COUNTIFS(Hierarchy!$F$2:$F$115,B4,Hierarchy!$C$2:$C$115,4,Hierarchy!$J$2:$J$115,"Proposed*")</f>
        <v>3</v>
      </c>
      <c r="F4" s="10" t="n">
        <f aca="false">COUNTIFS(Hierarchy!$F$2:$F$115,B4,Hierarchy!$C$2:$C$115,5)</f>
        <v>13</v>
      </c>
      <c r="G4" s="10" t="n">
        <f aca="false">COUNTIF(Case_Link!$B$2:$B$51,B4)</f>
        <v>17</v>
      </c>
    </row>
    <row r="5" customFormat="false" ht="15" hidden="false" customHeight="false" outlineLevel="0" collapsed="false">
      <c r="A5" s="10" t="s">
        <v>65</v>
      </c>
      <c r="B5" s="10" t="s">
        <v>66</v>
      </c>
      <c r="C5" s="10" t="n">
        <f aca="false">COUNTIFS(Hierarchy!$F$2:$F$115,B5,Hierarchy!$C$2:$C$115,3)</f>
        <v>10</v>
      </c>
      <c r="D5" s="10" t="n">
        <f aca="false">COUNTIFS(Hierarchy!$F$2:$F$115,B5,Hierarchy!$C$2:$C$115,4)</f>
        <v>14</v>
      </c>
      <c r="E5" s="10" t="n">
        <f aca="false">COUNTIFS(Hierarchy!$F$2:$F$115,B5,Hierarchy!$C$2:$C$115,4,Hierarchy!$J$2:$J$115,"Proposed*")</f>
        <v>4</v>
      </c>
      <c r="F5" s="10" t="n">
        <f aca="false">COUNTIFS(Hierarchy!$F$2:$F$115,B5,Hierarchy!$C$2:$C$115,5)</f>
        <v>14</v>
      </c>
      <c r="G5" s="10" t="n">
        <f aca="false">COUNTIF(Case_Link!$B$2:$B$51,B5)</f>
        <v>17</v>
      </c>
    </row>
    <row r="6" customFormat="false" ht="15" hidden="false" customHeight="false" outlineLevel="0" collapsed="false">
      <c r="A6" s="10" t="s">
        <v>67</v>
      </c>
      <c r="B6" s="10" t="s">
        <v>68</v>
      </c>
      <c r="C6" s="10" t="n">
        <f aca="false">COUNTIFS(Hierarchy!$F$2:$F$115,B6,Hierarchy!$C$2:$C$115,3)</f>
        <v>10</v>
      </c>
      <c r="D6" s="10" t="n">
        <f aca="false">COUNTIFS(Hierarchy!$F$2:$F$115,B6,Hierarchy!$C$2:$C$115,4)</f>
        <v>14</v>
      </c>
      <c r="E6" s="10" t="n">
        <f aca="false">COUNTIFS(Hierarchy!$F$2:$F$115,B6,Hierarchy!$C$2:$C$115,4,Hierarchy!$J$2:$J$115,"Proposed*")</f>
        <v>4</v>
      </c>
      <c r="F6" s="10" t="n">
        <f aca="false">COUNTIFS(Hierarchy!$F$2:$F$115,B6,Hierarchy!$C$2:$C$115,5)</f>
        <v>14</v>
      </c>
      <c r="G6" s="10" t="n">
        <f aca="false">COUNTIF(Case_Link!$B$2:$B$51,B6)</f>
        <v>16</v>
      </c>
    </row>
    <row r="7" customFormat="false" ht="15" hidden="false" customHeight="false" outlineLevel="0" collapsed="false">
      <c r="A7" s="5" t="s">
        <v>69</v>
      </c>
      <c r="C7" s="11" t="n">
        <f aca="false">SUM(C4:C6)</f>
        <v>26</v>
      </c>
      <c r="D7" s="11" t="n">
        <f aca="false">SUM(D4:D6)</f>
        <v>41</v>
      </c>
      <c r="E7" s="11" t="n">
        <f aca="false">SUM(E4:E6)</f>
        <v>11</v>
      </c>
      <c r="F7" s="11" t="n">
        <f aca="false">SUM(F4:F6)</f>
        <v>41</v>
      </c>
      <c r="G7" s="11" t="n">
        <f aca="false">SUM(G4:G6)</f>
        <v>50</v>
      </c>
    </row>
    <row r="10" customFormat="false" ht="15" hidden="false" customHeight="false" outlineLevel="0" collapsed="false">
      <c r="A10" s="3" t="s">
        <v>70</v>
      </c>
    </row>
    <row r="11" customFormat="false" ht="15" hidden="false" customHeight="false" outlineLevel="0" collapsed="false">
      <c r="A11" s="7" t="s">
        <v>71</v>
      </c>
      <c r="B11" s="7" t="n">
        <f aca="false">SUMPRODUCT((Hierarchy!$B$2:$B$115&lt;&gt;"")*(COUNTIF(Hierarchy!$A$2:$A$115,Hierarchy!$B$2:$B$115)=0))</f>
        <v>0</v>
      </c>
      <c r="C11" s="7" t="n">
        <v>0</v>
      </c>
      <c r="D11" s="5" t="str">
        <f aca="false">IF(C11="info","info",IF(B11=C11,"PASS","FAIL"))</f>
        <v>PASS</v>
      </c>
    </row>
    <row r="12" customFormat="false" ht="15" hidden="false" customHeight="false" outlineLevel="0" collapsed="false">
      <c r="A12" s="7" t="s">
        <v>72</v>
      </c>
      <c r="B12" s="7" t="n">
        <f aca="false">SUMPRODUCT(--(COUNTIF(Hierarchy!$A$2:$A$115,Hierarchy!$A$2:$A$115)&gt;1))</f>
        <v>0</v>
      </c>
      <c r="C12" s="7" t="n">
        <v>0</v>
      </c>
      <c r="D12" s="5" t="str">
        <f aca="false">IF(C12="info","info",IF(B12=C12,"PASS","FAIL"))</f>
        <v>PASS</v>
      </c>
    </row>
    <row r="13" customFormat="false" ht="15" hidden="false" customHeight="false" outlineLevel="0" collapsed="false">
      <c r="A13" s="7" t="s">
        <v>73</v>
      </c>
      <c r="B13" s="7" t="n">
        <f aca="false">SUMPRODUCT(--(COUNTIF(Component_Map!$H$2:$H$42,Component_Map!$H$2:$H$42)&gt;1))</f>
        <v>0</v>
      </c>
      <c r="C13" s="7" t="n">
        <v>0</v>
      </c>
      <c r="D13" s="5" t="str">
        <f aca="false">IF(C13="info","info",IF(B13=C13,"PASS","FAIL"))</f>
        <v>PASS</v>
      </c>
    </row>
    <row r="14" customFormat="false" ht="15" hidden="false" customHeight="false" outlineLevel="0" collapsed="false">
      <c r="A14" s="7" t="s">
        <v>74</v>
      </c>
      <c r="B14" s="7" t="n">
        <f aca="false">COUNTIF(Case_Link!$H$2:$H$51,"UNMAPPED")</f>
        <v>0</v>
      </c>
      <c r="C14" s="7" t="n">
        <v>0</v>
      </c>
      <c r="D14" s="5" t="str">
        <f aca="false">IF(C14="info","info",IF(B14=C14,"PASS","FAIL"))</f>
        <v>PASS</v>
      </c>
    </row>
    <row r="15" customFormat="false" ht="15" hidden="false" customHeight="false" outlineLevel="0" collapsed="false">
      <c r="A15" s="7" t="s">
        <v>75</v>
      </c>
      <c r="B15" s="7" t="n">
        <f aca="false">COUNTIF(Component_Map!$M$2:$M$42,0)</f>
        <v>0</v>
      </c>
      <c r="C15" s="7" t="s">
        <v>76</v>
      </c>
      <c r="D15" s="5" t="str">
        <f aca="false">IF(C15="info","info",IF(B15=C15,"PASS","FAIL"))</f>
        <v>info</v>
      </c>
    </row>
    <row r="17" customFormat="false" ht="15" hidden="false" customHeight="true" outlineLevel="0" collapsed="false">
      <c r="A17" s="12" t="s">
        <v>77</v>
      </c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</sheetData>
  <mergeCells count="1">
    <mergeCell ref="A17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34"/>
    <col collapsed="false" customWidth="true" hidden="false" outlineLevel="0" max="12" min="12" style="0" width="38"/>
    <col collapsed="false" customWidth="true" hidden="false" outlineLevel="0" max="13" min="13" style="0" width="60"/>
    <col collapsed="false" customWidth="true" hidden="false" outlineLevel="0" max="14" min="14" style="0" width="50"/>
  </cols>
  <sheetData>
    <row r="1" customFormat="false" ht="35.05" hidden="false" customHeight="false" outlineLevel="0" collapsed="false">
      <c r="A1" s="13" t="s">
        <v>78</v>
      </c>
      <c r="B1" s="13" t="s">
        <v>79</v>
      </c>
      <c r="C1" s="13" t="s">
        <v>80</v>
      </c>
      <c r="D1" s="13" t="s">
        <v>81</v>
      </c>
      <c r="E1" s="13" t="s">
        <v>82</v>
      </c>
      <c r="F1" s="13" t="s">
        <v>57</v>
      </c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3" t="s">
        <v>90</v>
      </c>
    </row>
    <row r="2" customFormat="false" ht="23.85" hidden="false" customHeight="false" outlineLevel="0" collapsed="false">
      <c r="A2" s="14" t="s">
        <v>64</v>
      </c>
      <c r="B2" s="14"/>
      <c r="C2" s="14" t="n">
        <v>1</v>
      </c>
      <c r="D2" s="14" t="s">
        <v>25</v>
      </c>
      <c r="E2" s="14" t="s">
        <v>63</v>
      </c>
      <c r="F2" s="14" t="s">
        <v>64</v>
      </c>
      <c r="G2" s="14"/>
      <c r="H2" s="14"/>
      <c r="I2" s="14"/>
      <c r="J2" s="14" t="s">
        <v>91</v>
      </c>
      <c r="K2" s="14"/>
      <c r="L2" s="14"/>
      <c r="M2" s="14"/>
      <c r="N2" s="14" t="s">
        <v>92</v>
      </c>
    </row>
    <row r="3" customFormat="false" ht="15" hidden="false" customHeight="false" outlineLevel="0" collapsed="false">
      <c r="A3" s="15" t="s">
        <v>93</v>
      </c>
      <c r="B3" s="15" t="s">
        <v>64</v>
      </c>
      <c r="C3" s="15" t="n">
        <v>2</v>
      </c>
      <c r="D3" s="15" t="s">
        <v>94</v>
      </c>
      <c r="E3" s="15" t="s">
        <v>95</v>
      </c>
      <c r="F3" s="15" t="s">
        <v>64</v>
      </c>
      <c r="G3" s="15"/>
      <c r="H3" s="15"/>
      <c r="I3" s="15"/>
      <c r="J3" s="15" t="s">
        <v>91</v>
      </c>
      <c r="K3" s="15"/>
      <c r="L3" s="15"/>
      <c r="M3" s="15"/>
      <c r="N3" s="15" t="s">
        <v>96</v>
      </c>
    </row>
    <row r="4" customFormat="false" ht="15" hidden="false" customHeight="false" outlineLevel="0" collapsed="false">
      <c r="A4" s="16" t="s">
        <v>97</v>
      </c>
      <c r="B4" s="16" t="s">
        <v>93</v>
      </c>
      <c r="C4" s="16" t="n">
        <v>3</v>
      </c>
      <c r="D4" s="16" t="s">
        <v>98</v>
      </c>
      <c r="E4" s="16" t="s">
        <v>99</v>
      </c>
      <c r="F4" s="16" t="s">
        <v>64</v>
      </c>
      <c r="G4" s="16" t="s">
        <v>97</v>
      </c>
      <c r="H4" s="16"/>
      <c r="I4" s="16"/>
      <c r="J4" s="16" t="s">
        <v>91</v>
      </c>
      <c r="K4" s="16" t="s">
        <v>99</v>
      </c>
      <c r="L4" s="16"/>
      <c r="M4" s="16"/>
      <c r="N4" s="16"/>
    </row>
    <row r="5" customFormat="false" ht="15" hidden="false" customHeight="false" outlineLevel="0" collapsed="false">
      <c r="A5" s="16" t="s">
        <v>100</v>
      </c>
      <c r="B5" s="16" t="s">
        <v>97</v>
      </c>
      <c r="C5" s="16" t="n">
        <v>4</v>
      </c>
      <c r="D5" s="16" t="s">
        <v>101</v>
      </c>
      <c r="E5" s="16" t="s">
        <v>102</v>
      </c>
      <c r="F5" s="16" t="s">
        <v>64</v>
      </c>
      <c r="G5" s="16" t="s">
        <v>97</v>
      </c>
      <c r="H5" s="16" t="s">
        <v>103</v>
      </c>
      <c r="I5" s="16"/>
      <c r="J5" s="16" t="s">
        <v>91</v>
      </c>
      <c r="K5" s="16" t="s">
        <v>99</v>
      </c>
      <c r="L5" s="16" t="s">
        <v>102</v>
      </c>
      <c r="M5" s="16"/>
      <c r="N5" s="16"/>
    </row>
    <row r="6" customFormat="false" ht="23.85" hidden="false" customHeight="false" outlineLevel="0" collapsed="false">
      <c r="A6" s="16" t="s">
        <v>104</v>
      </c>
      <c r="B6" s="16" t="s">
        <v>100</v>
      </c>
      <c r="C6" s="16" t="n">
        <v>5</v>
      </c>
      <c r="D6" s="16" t="s">
        <v>45</v>
      </c>
      <c r="E6" s="16" t="s">
        <v>105</v>
      </c>
      <c r="F6" s="16" t="s">
        <v>64</v>
      </c>
      <c r="G6" s="16" t="s">
        <v>97</v>
      </c>
      <c r="H6" s="16" t="s">
        <v>103</v>
      </c>
      <c r="I6" s="16" t="s">
        <v>106</v>
      </c>
      <c r="J6" s="16" t="s">
        <v>91</v>
      </c>
      <c r="K6" s="16" t="s">
        <v>99</v>
      </c>
      <c r="L6" s="16" t="s">
        <v>102</v>
      </c>
      <c r="M6" s="16" t="s">
        <v>107</v>
      </c>
      <c r="N6" s="16"/>
    </row>
    <row r="7" customFormat="false" ht="15" hidden="false" customHeight="false" outlineLevel="0" collapsed="false">
      <c r="A7" s="16" t="s">
        <v>108</v>
      </c>
      <c r="B7" s="16" t="s">
        <v>97</v>
      </c>
      <c r="C7" s="16" t="n">
        <v>4</v>
      </c>
      <c r="D7" s="16" t="s">
        <v>101</v>
      </c>
      <c r="E7" s="16" t="s">
        <v>109</v>
      </c>
      <c r="F7" s="16" t="s">
        <v>64</v>
      </c>
      <c r="G7" s="16" t="s">
        <v>97</v>
      </c>
      <c r="H7" s="16" t="s">
        <v>110</v>
      </c>
      <c r="I7" s="16"/>
      <c r="J7" s="16" t="s">
        <v>91</v>
      </c>
      <c r="K7" s="16" t="s">
        <v>99</v>
      </c>
      <c r="L7" s="16" t="s">
        <v>109</v>
      </c>
      <c r="M7" s="16"/>
      <c r="N7" s="16"/>
    </row>
    <row r="8" customFormat="false" ht="23.85" hidden="false" customHeight="false" outlineLevel="0" collapsed="false">
      <c r="A8" s="16" t="s">
        <v>111</v>
      </c>
      <c r="B8" s="16" t="s">
        <v>108</v>
      </c>
      <c r="C8" s="16" t="n">
        <v>5</v>
      </c>
      <c r="D8" s="16" t="s">
        <v>45</v>
      </c>
      <c r="E8" s="16" t="s">
        <v>112</v>
      </c>
      <c r="F8" s="16" t="s">
        <v>64</v>
      </c>
      <c r="G8" s="16" t="s">
        <v>97</v>
      </c>
      <c r="H8" s="16" t="s">
        <v>110</v>
      </c>
      <c r="I8" s="16" t="s">
        <v>113</v>
      </c>
      <c r="J8" s="16" t="s">
        <v>91</v>
      </c>
      <c r="K8" s="16" t="s">
        <v>99</v>
      </c>
      <c r="L8" s="16" t="s">
        <v>109</v>
      </c>
      <c r="M8" s="16" t="s">
        <v>114</v>
      </c>
      <c r="N8" s="16"/>
    </row>
    <row r="9" customFormat="false" ht="15" hidden="false" customHeight="false" outlineLevel="0" collapsed="false">
      <c r="A9" s="16" t="s">
        <v>115</v>
      </c>
      <c r="B9" s="16" t="s">
        <v>93</v>
      </c>
      <c r="C9" s="16" t="n">
        <v>3</v>
      </c>
      <c r="D9" s="16" t="s">
        <v>98</v>
      </c>
      <c r="E9" s="16" t="s">
        <v>116</v>
      </c>
      <c r="F9" s="16" t="s">
        <v>64</v>
      </c>
      <c r="G9" s="16" t="s">
        <v>115</v>
      </c>
      <c r="H9" s="16"/>
      <c r="I9" s="16"/>
      <c r="J9" s="16" t="s">
        <v>91</v>
      </c>
      <c r="K9" s="16" t="s">
        <v>116</v>
      </c>
      <c r="L9" s="16"/>
      <c r="M9" s="16"/>
      <c r="N9" s="16"/>
    </row>
    <row r="10" customFormat="false" ht="15" hidden="false" customHeight="false" outlineLevel="0" collapsed="false">
      <c r="A10" s="16" t="s">
        <v>117</v>
      </c>
      <c r="B10" s="16" t="s">
        <v>115</v>
      </c>
      <c r="C10" s="16" t="n">
        <v>4</v>
      </c>
      <c r="D10" s="16" t="s">
        <v>101</v>
      </c>
      <c r="E10" s="16" t="s">
        <v>118</v>
      </c>
      <c r="F10" s="16" t="s">
        <v>64</v>
      </c>
      <c r="G10" s="16" t="s">
        <v>115</v>
      </c>
      <c r="H10" s="16" t="s">
        <v>119</v>
      </c>
      <c r="I10" s="16"/>
      <c r="J10" s="16" t="s">
        <v>91</v>
      </c>
      <c r="K10" s="16" t="s">
        <v>116</v>
      </c>
      <c r="L10" s="16" t="s">
        <v>118</v>
      </c>
      <c r="M10" s="16"/>
      <c r="N10" s="16"/>
    </row>
    <row r="11" customFormat="false" ht="35.05" hidden="false" customHeight="false" outlineLevel="0" collapsed="false">
      <c r="A11" s="16" t="s">
        <v>120</v>
      </c>
      <c r="B11" s="16" t="s">
        <v>117</v>
      </c>
      <c r="C11" s="16" t="n">
        <v>5</v>
      </c>
      <c r="D11" s="16" t="s">
        <v>45</v>
      </c>
      <c r="E11" s="16" t="s">
        <v>121</v>
      </c>
      <c r="F11" s="16" t="s">
        <v>64</v>
      </c>
      <c r="G11" s="16" t="s">
        <v>115</v>
      </c>
      <c r="H11" s="16" t="s">
        <v>119</v>
      </c>
      <c r="I11" s="16" t="s">
        <v>122</v>
      </c>
      <c r="J11" s="16" t="s">
        <v>91</v>
      </c>
      <c r="K11" s="16" t="s">
        <v>116</v>
      </c>
      <c r="L11" s="16" t="s">
        <v>118</v>
      </c>
      <c r="M11" s="16" t="s">
        <v>123</v>
      </c>
      <c r="N11" s="16"/>
    </row>
    <row r="12" customFormat="false" ht="15" hidden="false" customHeight="false" outlineLevel="0" collapsed="false">
      <c r="A12" s="16" t="s">
        <v>124</v>
      </c>
      <c r="B12" s="16" t="s">
        <v>93</v>
      </c>
      <c r="C12" s="16" t="n">
        <v>3</v>
      </c>
      <c r="D12" s="16" t="s">
        <v>98</v>
      </c>
      <c r="E12" s="16" t="s">
        <v>125</v>
      </c>
      <c r="F12" s="16" t="s">
        <v>64</v>
      </c>
      <c r="G12" s="16" t="s">
        <v>124</v>
      </c>
      <c r="H12" s="16"/>
      <c r="I12" s="16"/>
      <c r="J12" s="16" t="s">
        <v>91</v>
      </c>
      <c r="K12" s="16" t="s">
        <v>125</v>
      </c>
      <c r="L12" s="16"/>
      <c r="M12" s="16"/>
      <c r="N12" s="16"/>
    </row>
    <row r="13" customFormat="false" ht="15" hidden="false" customHeight="false" outlineLevel="0" collapsed="false">
      <c r="A13" s="16" t="s">
        <v>126</v>
      </c>
      <c r="B13" s="16" t="s">
        <v>124</v>
      </c>
      <c r="C13" s="16" t="n">
        <v>4</v>
      </c>
      <c r="D13" s="16" t="s">
        <v>101</v>
      </c>
      <c r="E13" s="16" t="s">
        <v>127</v>
      </c>
      <c r="F13" s="16" t="s">
        <v>64</v>
      </c>
      <c r="G13" s="16" t="s">
        <v>124</v>
      </c>
      <c r="H13" s="16" t="s">
        <v>128</v>
      </c>
      <c r="I13" s="16"/>
      <c r="J13" s="16" t="s">
        <v>91</v>
      </c>
      <c r="K13" s="16" t="s">
        <v>125</v>
      </c>
      <c r="L13" s="16" t="s">
        <v>127</v>
      </c>
      <c r="M13" s="16"/>
      <c r="N13" s="16"/>
    </row>
    <row r="14" customFormat="false" ht="35.05" hidden="false" customHeight="false" outlineLevel="0" collapsed="false">
      <c r="A14" s="16" t="s">
        <v>129</v>
      </c>
      <c r="B14" s="16" t="s">
        <v>126</v>
      </c>
      <c r="C14" s="16" t="n">
        <v>5</v>
      </c>
      <c r="D14" s="16" t="s">
        <v>45</v>
      </c>
      <c r="E14" s="16" t="s">
        <v>130</v>
      </c>
      <c r="F14" s="16" t="s">
        <v>64</v>
      </c>
      <c r="G14" s="16" t="s">
        <v>124</v>
      </c>
      <c r="H14" s="16" t="s">
        <v>128</v>
      </c>
      <c r="I14" s="16" t="s">
        <v>131</v>
      </c>
      <c r="J14" s="16" t="s">
        <v>91</v>
      </c>
      <c r="K14" s="16" t="s">
        <v>125</v>
      </c>
      <c r="L14" s="16" t="s">
        <v>127</v>
      </c>
      <c r="M14" s="16" t="s">
        <v>132</v>
      </c>
      <c r="N14" s="16"/>
    </row>
    <row r="15" customFormat="false" ht="15" hidden="false" customHeight="false" outlineLevel="0" collapsed="false">
      <c r="A15" s="16" t="s">
        <v>133</v>
      </c>
      <c r="B15" s="16" t="s">
        <v>124</v>
      </c>
      <c r="C15" s="16" t="n">
        <v>4</v>
      </c>
      <c r="D15" s="16" t="s">
        <v>101</v>
      </c>
      <c r="E15" s="16" t="s">
        <v>134</v>
      </c>
      <c r="F15" s="16" t="s">
        <v>64</v>
      </c>
      <c r="G15" s="16" t="s">
        <v>124</v>
      </c>
      <c r="H15" s="16" t="s">
        <v>135</v>
      </c>
      <c r="I15" s="16"/>
      <c r="J15" s="16" t="s">
        <v>91</v>
      </c>
      <c r="K15" s="16" t="s">
        <v>125</v>
      </c>
      <c r="L15" s="16" t="s">
        <v>134</v>
      </c>
      <c r="M15" s="16"/>
      <c r="N15" s="16"/>
    </row>
    <row r="16" customFormat="false" ht="23.85" hidden="false" customHeight="false" outlineLevel="0" collapsed="false">
      <c r="A16" s="16" t="s">
        <v>136</v>
      </c>
      <c r="B16" s="16" t="s">
        <v>133</v>
      </c>
      <c r="C16" s="16" t="n">
        <v>5</v>
      </c>
      <c r="D16" s="16" t="s">
        <v>45</v>
      </c>
      <c r="E16" s="16" t="s">
        <v>137</v>
      </c>
      <c r="F16" s="16" t="s">
        <v>64</v>
      </c>
      <c r="G16" s="16" t="s">
        <v>124</v>
      </c>
      <c r="H16" s="16" t="s">
        <v>135</v>
      </c>
      <c r="I16" s="16" t="s">
        <v>138</v>
      </c>
      <c r="J16" s="16" t="s">
        <v>91</v>
      </c>
      <c r="K16" s="16" t="s">
        <v>125</v>
      </c>
      <c r="L16" s="16" t="s">
        <v>134</v>
      </c>
      <c r="M16" s="16" t="s">
        <v>139</v>
      </c>
      <c r="N16" s="16"/>
    </row>
    <row r="17" customFormat="false" ht="15" hidden="false" customHeight="false" outlineLevel="0" collapsed="false">
      <c r="A17" s="16" t="s">
        <v>140</v>
      </c>
      <c r="B17" s="16" t="s">
        <v>124</v>
      </c>
      <c r="C17" s="16" t="n">
        <v>4</v>
      </c>
      <c r="D17" s="16" t="s">
        <v>101</v>
      </c>
      <c r="E17" s="16" t="s">
        <v>141</v>
      </c>
      <c r="F17" s="16" t="s">
        <v>64</v>
      </c>
      <c r="G17" s="16" t="s">
        <v>124</v>
      </c>
      <c r="H17" s="16" t="s">
        <v>142</v>
      </c>
      <c r="I17" s="16"/>
      <c r="J17" s="16" t="s">
        <v>91</v>
      </c>
      <c r="K17" s="16" t="s">
        <v>125</v>
      </c>
      <c r="L17" s="16" t="s">
        <v>141</v>
      </c>
      <c r="M17" s="16"/>
      <c r="N17" s="16"/>
    </row>
    <row r="18" customFormat="false" ht="35.05" hidden="false" customHeight="false" outlineLevel="0" collapsed="false">
      <c r="A18" s="16" t="s">
        <v>143</v>
      </c>
      <c r="B18" s="16" t="s">
        <v>140</v>
      </c>
      <c r="C18" s="16" t="n">
        <v>5</v>
      </c>
      <c r="D18" s="16" t="s">
        <v>45</v>
      </c>
      <c r="E18" s="16" t="s">
        <v>144</v>
      </c>
      <c r="F18" s="16" t="s">
        <v>64</v>
      </c>
      <c r="G18" s="16" t="s">
        <v>124</v>
      </c>
      <c r="H18" s="16" t="s">
        <v>142</v>
      </c>
      <c r="I18" s="16" t="s">
        <v>106</v>
      </c>
      <c r="J18" s="16" t="s">
        <v>91</v>
      </c>
      <c r="K18" s="16" t="s">
        <v>125</v>
      </c>
      <c r="L18" s="16" t="s">
        <v>141</v>
      </c>
      <c r="M18" s="16" t="s">
        <v>145</v>
      </c>
      <c r="N18" s="16"/>
    </row>
    <row r="19" customFormat="false" ht="15" hidden="false" customHeight="false" outlineLevel="0" collapsed="false">
      <c r="A19" s="17" t="s">
        <v>146</v>
      </c>
      <c r="B19" s="17" t="s">
        <v>124</v>
      </c>
      <c r="C19" s="17" t="n">
        <v>4</v>
      </c>
      <c r="D19" s="17" t="s">
        <v>101</v>
      </c>
      <c r="E19" s="17" t="s">
        <v>147</v>
      </c>
      <c r="F19" s="17" t="s">
        <v>64</v>
      </c>
      <c r="G19" s="17" t="s">
        <v>124</v>
      </c>
      <c r="H19" s="17" t="s">
        <v>148</v>
      </c>
      <c r="I19" s="17"/>
      <c r="J19" s="17" t="s">
        <v>149</v>
      </c>
      <c r="K19" s="17" t="s">
        <v>125</v>
      </c>
      <c r="L19" s="17" t="s">
        <v>147</v>
      </c>
      <c r="M19" s="17"/>
      <c r="N19" s="17"/>
    </row>
    <row r="20" customFormat="false" ht="15" hidden="false" customHeight="false" outlineLevel="0" collapsed="false">
      <c r="A20" s="17" t="s">
        <v>150</v>
      </c>
      <c r="B20" s="17" t="s">
        <v>146</v>
      </c>
      <c r="C20" s="17" t="n">
        <v>5</v>
      </c>
      <c r="D20" s="17" t="s">
        <v>45</v>
      </c>
      <c r="E20" s="17" t="s">
        <v>151</v>
      </c>
      <c r="F20" s="17" t="s">
        <v>64</v>
      </c>
      <c r="G20" s="17" t="s">
        <v>124</v>
      </c>
      <c r="H20" s="17" t="s">
        <v>148</v>
      </c>
      <c r="I20" s="17" t="s">
        <v>152</v>
      </c>
      <c r="J20" s="17" t="s">
        <v>149</v>
      </c>
      <c r="K20" s="17" t="s">
        <v>125</v>
      </c>
      <c r="L20" s="17" t="s">
        <v>147</v>
      </c>
      <c r="M20" s="17"/>
      <c r="N20" s="17"/>
    </row>
    <row r="21" customFormat="false" ht="15" hidden="false" customHeight="false" outlineLevel="0" collapsed="false">
      <c r="A21" s="17" t="s">
        <v>153</v>
      </c>
      <c r="B21" s="17" t="s">
        <v>124</v>
      </c>
      <c r="C21" s="17" t="n">
        <v>4</v>
      </c>
      <c r="D21" s="17" t="s">
        <v>101</v>
      </c>
      <c r="E21" s="17" t="s">
        <v>154</v>
      </c>
      <c r="F21" s="17" t="s">
        <v>64</v>
      </c>
      <c r="G21" s="17" t="s">
        <v>124</v>
      </c>
      <c r="H21" s="17" t="s">
        <v>155</v>
      </c>
      <c r="I21" s="17"/>
      <c r="J21" s="17" t="s">
        <v>149</v>
      </c>
      <c r="K21" s="17" t="s">
        <v>125</v>
      </c>
      <c r="L21" s="17" t="s">
        <v>154</v>
      </c>
      <c r="M21" s="17"/>
      <c r="N21" s="17"/>
    </row>
    <row r="22" customFormat="false" ht="15" hidden="false" customHeight="false" outlineLevel="0" collapsed="false">
      <c r="A22" s="17" t="s">
        <v>156</v>
      </c>
      <c r="B22" s="17" t="s">
        <v>153</v>
      </c>
      <c r="C22" s="17" t="n">
        <v>5</v>
      </c>
      <c r="D22" s="17" t="s">
        <v>45</v>
      </c>
      <c r="E22" s="17" t="s">
        <v>157</v>
      </c>
      <c r="F22" s="17" t="s">
        <v>64</v>
      </c>
      <c r="G22" s="17" t="s">
        <v>124</v>
      </c>
      <c r="H22" s="17" t="s">
        <v>155</v>
      </c>
      <c r="I22" s="17" t="s">
        <v>158</v>
      </c>
      <c r="J22" s="17" t="s">
        <v>149</v>
      </c>
      <c r="K22" s="17" t="s">
        <v>125</v>
      </c>
      <c r="L22" s="17" t="s">
        <v>154</v>
      </c>
      <c r="M22" s="17"/>
      <c r="N22" s="17"/>
    </row>
    <row r="23" customFormat="false" ht="15" hidden="false" customHeight="false" outlineLevel="0" collapsed="false">
      <c r="A23" s="16" t="s">
        <v>159</v>
      </c>
      <c r="B23" s="16" t="s">
        <v>93</v>
      </c>
      <c r="C23" s="16" t="n">
        <v>3</v>
      </c>
      <c r="D23" s="16" t="s">
        <v>98</v>
      </c>
      <c r="E23" s="16" t="s">
        <v>160</v>
      </c>
      <c r="F23" s="16" t="s">
        <v>64</v>
      </c>
      <c r="G23" s="16" t="s">
        <v>159</v>
      </c>
      <c r="H23" s="16"/>
      <c r="I23" s="16"/>
      <c r="J23" s="16" t="s">
        <v>91</v>
      </c>
      <c r="K23" s="16" t="s">
        <v>160</v>
      </c>
      <c r="L23" s="16"/>
      <c r="M23" s="16"/>
      <c r="N23" s="16"/>
    </row>
    <row r="24" customFormat="false" ht="15" hidden="false" customHeight="false" outlineLevel="0" collapsed="false">
      <c r="A24" s="16" t="s">
        <v>161</v>
      </c>
      <c r="B24" s="16" t="s">
        <v>159</v>
      </c>
      <c r="C24" s="16" t="n">
        <v>4</v>
      </c>
      <c r="D24" s="16" t="s">
        <v>101</v>
      </c>
      <c r="E24" s="16" t="s">
        <v>162</v>
      </c>
      <c r="F24" s="16" t="s">
        <v>64</v>
      </c>
      <c r="G24" s="16" t="s">
        <v>159</v>
      </c>
      <c r="H24" s="16" t="s">
        <v>163</v>
      </c>
      <c r="I24" s="16"/>
      <c r="J24" s="16" t="s">
        <v>91</v>
      </c>
      <c r="K24" s="16" t="s">
        <v>160</v>
      </c>
      <c r="L24" s="16" t="s">
        <v>162</v>
      </c>
      <c r="M24" s="16"/>
      <c r="N24" s="16"/>
    </row>
    <row r="25" customFormat="false" ht="23.85" hidden="false" customHeight="false" outlineLevel="0" collapsed="false">
      <c r="A25" s="16" t="s">
        <v>164</v>
      </c>
      <c r="B25" s="16" t="s">
        <v>161</v>
      </c>
      <c r="C25" s="16" t="n">
        <v>5</v>
      </c>
      <c r="D25" s="16" t="s">
        <v>45</v>
      </c>
      <c r="E25" s="16" t="s">
        <v>165</v>
      </c>
      <c r="F25" s="16" t="s">
        <v>64</v>
      </c>
      <c r="G25" s="16" t="s">
        <v>159</v>
      </c>
      <c r="H25" s="16" t="s">
        <v>163</v>
      </c>
      <c r="I25" s="16" t="s">
        <v>106</v>
      </c>
      <c r="J25" s="16" t="s">
        <v>91</v>
      </c>
      <c r="K25" s="16" t="s">
        <v>160</v>
      </c>
      <c r="L25" s="16" t="s">
        <v>162</v>
      </c>
      <c r="M25" s="16" t="s">
        <v>166</v>
      </c>
      <c r="N25" s="16"/>
    </row>
    <row r="26" customFormat="false" ht="15" hidden="false" customHeight="false" outlineLevel="0" collapsed="false">
      <c r="A26" s="17" t="s">
        <v>167</v>
      </c>
      <c r="B26" s="17" t="s">
        <v>159</v>
      </c>
      <c r="C26" s="17" t="n">
        <v>4</v>
      </c>
      <c r="D26" s="17" t="s">
        <v>101</v>
      </c>
      <c r="E26" s="17" t="s">
        <v>168</v>
      </c>
      <c r="F26" s="17" t="s">
        <v>64</v>
      </c>
      <c r="G26" s="17" t="s">
        <v>159</v>
      </c>
      <c r="H26" s="17" t="s">
        <v>169</v>
      </c>
      <c r="I26" s="17"/>
      <c r="J26" s="17" t="s">
        <v>149</v>
      </c>
      <c r="K26" s="17" t="s">
        <v>160</v>
      </c>
      <c r="L26" s="17" t="s">
        <v>168</v>
      </c>
      <c r="M26" s="17"/>
      <c r="N26" s="17"/>
    </row>
    <row r="27" customFormat="false" ht="23.85" hidden="false" customHeight="false" outlineLevel="0" collapsed="false">
      <c r="A27" s="17" t="s">
        <v>170</v>
      </c>
      <c r="B27" s="17" t="s">
        <v>167</v>
      </c>
      <c r="C27" s="17" t="n">
        <v>5</v>
      </c>
      <c r="D27" s="17" t="s">
        <v>45</v>
      </c>
      <c r="E27" s="17" t="s">
        <v>171</v>
      </c>
      <c r="F27" s="17" t="s">
        <v>64</v>
      </c>
      <c r="G27" s="17" t="s">
        <v>159</v>
      </c>
      <c r="H27" s="17" t="s">
        <v>169</v>
      </c>
      <c r="I27" s="17" t="s">
        <v>172</v>
      </c>
      <c r="J27" s="17" t="s">
        <v>149</v>
      </c>
      <c r="K27" s="17" t="s">
        <v>160</v>
      </c>
      <c r="L27" s="17" t="s">
        <v>168</v>
      </c>
      <c r="M27" s="17"/>
      <c r="N27" s="17"/>
    </row>
    <row r="28" customFormat="false" ht="23.85" hidden="false" customHeight="false" outlineLevel="0" collapsed="false">
      <c r="A28" s="16" t="s">
        <v>173</v>
      </c>
      <c r="B28" s="16" t="s">
        <v>93</v>
      </c>
      <c r="C28" s="16" t="n">
        <v>3</v>
      </c>
      <c r="D28" s="16" t="s">
        <v>98</v>
      </c>
      <c r="E28" s="16" t="s">
        <v>174</v>
      </c>
      <c r="F28" s="16" t="s">
        <v>64</v>
      </c>
      <c r="G28" s="16" t="s">
        <v>173</v>
      </c>
      <c r="H28" s="16"/>
      <c r="I28" s="16"/>
      <c r="J28" s="16" t="s">
        <v>91</v>
      </c>
      <c r="K28" s="16" t="s">
        <v>175</v>
      </c>
      <c r="L28" s="16"/>
      <c r="M28" s="16"/>
      <c r="N28" s="16" t="s">
        <v>176</v>
      </c>
    </row>
    <row r="29" customFormat="false" ht="15" hidden="false" customHeight="false" outlineLevel="0" collapsed="false">
      <c r="A29" s="16" t="s">
        <v>177</v>
      </c>
      <c r="B29" s="16" t="s">
        <v>173</v>
      </c>
      <c r="C29" s="16" t="n">
        <v>4</v>
      </c>
      <c r="D29" s="16" t="s">
        <v>101</v>
      </c>
      <c r="E29" s="16" t="s">
        <v>178</v>
      </c>
      <c r="F29" s="16" t="s">
        <v>64</v>
      </c>
      <c r="G29" s="16" t="s">
        <v>173</v>
      </c>
      <c r="H29" s="16" t="s">
        <v>179</v>
      </c>
      <c r="I29" s="16"/>
      <c r="J29" s="16" t="s">
        <v>91</v>
      </c>
      <c r="K29" s="16" t="s">
        <v>180</v>
      </c>
      <c r="L29" s="16" t="s">
        <v>178</v>
      </c>
      <c r="M29" s="16"/>
      <c r="N29" s="16"/>
    </row>
    <row r="30" customFormat="false" ht="15" hidden="false" customHeight="false" outlineLevel="0" collapsed="false">
      <c r="A30" s="16" t="s">
        <v>181</v>
      </c>
      <c r="B30" s="16" t="s">
        <v>177</v>
      </c>
      <c r="C30" s="16" t="n">
        <v>5</v>
      </c>
      <c r="D30" s="16" t="s">
        <v>45</v>
      </c>
      <c r="E30" s="16" t="s">
        <v>182</v>
      </c>
      <c r="F30" s="16" t="s">
        <v>64</v>
      </c>
      <c r="G30" s="16" t="s">
        <v>173</v>
      </c>
      <c r="H30" s="16" t="s">
        <v>179</v>
      </c>
      <c r="I30" s="16" t="s">
        <v>152</v>
      </c>
      <c r="J30" s="16" t="s">
        <v>91</v>
      </c>
      <c r="K30" s="16" t="s">
        <v>180</v>
      </c>
      <c r="L30" s="16" t="s">
        <v>178</v>
      </c>
      <c r="M30" s="16" t="s">
        <v>183</v>
      </c>
      <c r="N30" s="16"/>
    </row>
    <row r="31" customFormat="false" ht="15" hidden="false" customHeight="false" outlineLevel="0" collapsed="false">
      <c r="A31" s="16" t="s">
        <v>184</v>
      </c>
      <c r="B31" s="16" t="s">
        <v>173</v>
      </c>
      <c r="C31" s="16" t="n">
        <v>4</v>
      </c>
      <c r="D31" s="16" t="s">
        <v>101</v>
      </c>
      <c r="E31" s="16" t="s">
        <v>185</v>
      </c>
      <c r="F31" s="16" t="s">
        <v>64</v>
      </c>
      <c r="G31" s="16" t="s">
        <v>173</v>
      </c>
      <c r="H31" s="16" t="s">
        <v>186</v>
      </c>
      <c r="I31" s="16"/>
      <c r="J31" s="16" t="s">
        <v>91</v>
      </c>
      <c r="K31" s="16" t="s">
        <v>187</v>
      </c>
      <c r="L31" s="16" t="s">
        <v>185</v>
      </c>
      <c r="M31" s="16"/>
      <c r="N31" s="16"/>
    </row>
    <row r="32" customFormat="false" ht="23.85" hidden="false" customHeight="false" outlineLevel="0" collapsed="false">
      <c r="A32" s="16" t="s">
        <v>188</v>
      </c>
      <c r="B32" s="16" t="s">
        <v>184</v>
      </c>
      <c r="C32" s="16" t="n">
        <v>5</v>
      </c>
      <c r="D32" s="16" t="s">
        <v>45</v>
      </c>
      <c r="E32" s="16" t="s">
        <v>189</v>
      </c>
      <c r="F32" s="16" t="s">
        <v>64</v>
      </c>
      <c r="G32" s="16" t="s">
        <v>173</v>
      </c>
      <c r="H32" s="16" t="s">
        <v>186</v>
      </c>
      <c r="I32" s="16" t="s">
        <v>138</v>
      </c>
      <c r="J32" s="16" t="s">
        <v>91</v>
      </c>
      <c r="K32" s="16" t="s">
        <v>187</v>
      </c>
      <c r="L32" s="16" t="s">
        <v>185</v>
      </c>
      <c r="M32" s="16" t="s">
        <v>190</v>
      </c>
      <c r="N32" s="16"/>
    </row>
    <row r="33" customFormat="false" ht="15" hidden="false" customHeight="false" outlineLevel="0" collapsed="false">
      <c r="A33" s="16" t="s">
        <v>191</v>
      </c>
      <c r="B33" s="16" t="s">
        <v>93</v>
      </c>
      <c r="C33" s="16" t="n">
        <v>3</v>
      </c>
      <c r="D33" s="16" t="s">
        <v>98</v>
      </c>
      <c r="E33" s="16" t="s">
        <v>192</v>
      </c>
      <c r="F33" s="16" t="s">
        <v>64</v>
      </c>
      <c r="G33" s="16" t="s">
        <v>191</v>
      </c>
      <c r="H33" s="16"/>
      <c r="I33" s="16"/>
      <c r="J33" s="16" t="s">
        <v>91</v>
      </c>
      <c r="K33" s="16" t="s">
        <v>192</v>
      </c>
      <c r="L33" s="16"/>
      <c r="M33" s="16"/>
      <c r="N33" s="16"/>
    </row>
    <row r="34" customFormat="false" ht="15" hidden="false" customHeight="false" outlineLevel="0" collapsed="false">
      <c r="A34" s="16" t="s">
        <v>193</v>
      </c>
      <c r="B34" s="16" t="s">
        <v>191</v>
      </c>
      <c r="C34" s="16" t="n">
        <v>4</v>
      </c>
      <c r="D34" s="16" t="s">
        <v>101</v>
      </c>
      <c r="E34" s="16" t="s">
        <v>194</v>
      </c>
      <c r="F34" s="16" t="s">
        <v>64</v>
      </c>
      <c r="G34" s="16" t="s">
        <v>191</v>
      </c>
      <c r="H34" s="16" t="s">
        <v>195</v>
      </c>
      <c r="I34" s="16"/>
      <c r="J34" s="16" t="s">
        <v>91</v>
      </c>
      <c r="K34" s="16" t="s">
        <v>192</v>
      </c>
      <c r="L34" s="16" t="s">
        <v>194</v>
      </c>
      <c r="M34" s="16"/>
      <c r="N34" s="16"/>
    </row>
    <row r="35" customFormat="false" ht="23.85" hidden="false" customHeight="false" outlineLevel="0" collapsed="false">
      <c r="A35" s="16" t="s">
        <v>196</v>
      </c>
      <c r="B35" s="16" t="s">
        <v>193</v>
      </c>
      <c r="C35" s="16" t="n">
        <v>5</v>
      </c>
      <c r="D35" s="16" t="s">
        <v>45</v>
      </c>
      <c r="E35" s="16" t="s">
        <v>197</v>
      </c>
      <c r="F35" s="16" t="s">
        <v>64</v>
      </c>
      <c r="G35" s="16" t="s">
        <v>191</v>
      </c>
      <c r="H35" s="16" t="s">
        <v>195</v>
      </c>
      <c r="I35" s="16" t="s">
        <v>198</v>
      </c>
      <c r="J35" s="16" t="s">
        <v>91</v>
      </c>
      <c r="K35" s="16" t="s">
        <v>192</v>
      </c>
      <c r="L35" s="16" t="s">
        <v>194</v>
      </c>
      <c r="M35" s="16" t="s">
        <v>199</v>
      </c>
      <c r="N35" s="16"/>
    </row>
    <row r="36" customFormat="false" ht="23.85" hidden="false" customHeight="false" outlineLevel="0" collapsed="false">
      <c r="A36" s="14" t="s">
        <v>66</v>
      </c>
      <c r="B36" s="14"/>
      <c r="C36" s="14" t="n">
        <v>1</v>
      </c>
      <c r="D36" s="14" t="s">
        <v>25</v>
      </c>
      <c r="E36" s="14" t="s">
        <v>65</v>
      </c>
      <c r="F36" s="14" t="s">
        <v>66</v>
      </c>
      <c r="G36" s="14"/>
      <c r="H36" s="14"/>
      <c r="I36" s="14"/>
      <c r="J36" s="14" t="s">
        <v>91</v>
      </c>
      <c r="K36" s="14"/>
      <c r="L36" s="14"/>
      <c r="M36" s="14"/>
      <c r="N36" s="14" t="s">
        <v>92</v>
      </c>
    </row>
    <row r="37" customFormat="false" ht="15" hidden="false" customHeight="false" outlineLevel="0" collapsed="false">
      <c r="A37" s="15" t="s">
        <v>200</v>
      </c>
      <c r="B37" s="15" t="s">
        <v>66</v>
      </c>
      <c r="C37" s="15" t="n">
        <v>2</v>
      </c>
      <c r="D37" s="15" t="s">
        <v>94</v>
      </c>
      <c r="E37" s="15" t="s">
        <v>201</v>
      </c>
      <c r="F37" s="15" t="s">
        <v>66</v>
      </c>
      <c r="G37" s="15"/>
      <c r="H37" s="15"/>
      <c r="I37" s="15"/>
      <c r="J37" s="15" t="s">
        <v>91</v>
      </c>
      <c r="K37" s="15"/>
      <c r="L37" s="15"/>
      <c r="M37" s="15"/>
      <c r="N37" s="15" t="s">
        <v>96</v>
      </c>
    </row>
    <row r="38" customFormat="false" ht="15" hidden="false" customHeight="false" outlineLevel="0" collapsed="false">
      <c r="A38" s="16" t="s">
        <v>202</v>
      </c>
      <c r="B38" s="16" t="s">
        <v>200</v>
      </c>
      <c r="C38" s="16" t="n">
        <v>3</v>
      </c>
      <c r="D38" s="16" t="s">
        <v>98</v>
      </c>
      <c r="E38" s="16" t="s">
        <v>203</v>
      </c>
      <c r="F38" s="16" t="s">
        <v>66</v>
      </c>
      <c r="G38" s="16" t="s">
        <v>202</v>
      </c>
      <c r="H38" s="16"/>
      <c r="I38" s="16"/>
      <c r="J38" s="16" t="s">
        <v>91</v>
      </c>
      <c r="K38" s="16" t="s">
        <v>204</v>
      </c>
      <c r="L38" s="16"/>
      <c r="M38" s="16"/>
      <c r="N38" s="16"/>
    </row>
    <row r="39" customFormat="false" ht="23.85" hidden="false" customHeight="false" outlineLevel="0" collapsed="false">
      <c r="A39" s="16" t="s">
        <v>205</v>
      </c>
      <c r="B39" s="16" t="s">
        <v>202</v>
      </c>
      <c r="C39" s="16" t="n">
        <v>4</v>
      </c>
      <c r="D39" s="16" t="s">
        <v>101</v>
      </c>
      <c r="E39" s="16" t="s">
        <v>206</v>
      </c>
      <c r="F39" s="16" t="s">
        <v>66</v>
      </c>
      <c r="G39" s="16" t="s">
        <v>202</v>
      </c>
      <c r="H39" s="16" t="s">
        <v>207</v>
      </c>
      <c r="I39" s="16"/>
      <c r="J39" s="16" t="s">
        <v>91</v>
      </c>
      <c r="K39" s="16" t="s">
        <v>204</v>
      </c>
      <c r="L39" s="16" t="s">
        <v>206</v>
      </c>
      <c r="M39" s="16"/>
      <c r="N39" s="16"/>
    </row>
    <row r="40" customFormat="false" ht="23.85" hidden="false" customHeight="false" outlineLevel="0" collapsed="false">
      <c r="A40" s="16" t="s">
        <v>208</v>
      </c>
      <c r="B40" s="16" t="s">
        <v>205</v>
      </c>
      <c r="C40" s="16" t="n">
        <v>5</v>
      </c>
      <c r="D40" s="16" t="s">
        <v>45</v>
      </c>
      <c r="E40" s="16" t="s">
        <v>209</v>
      </c>
      <c r="F40" s="16" t="s">
        <v>66</v>
      </c>
      <c r="G40" s="16" t="s">
        <v>202</v>
      </c>
      <c r="H40" s="16" t="s">
        <v>207</v>
      </c>
      <c r="I40" s="16" t="s">
        <v>210</v>
      </c>
      <c r="J40" s="16" t="s">
        <v>91</v>
      </c>
      <c r="K40" s="16" t="s">
        <v>204</v>
      </c>
      <c r="L40" s="16" t="s">
        <v>206</v>
      </c>
      <c r="M40" s="16" t="s">
        <v>211</v>
      </c>
      <c r="N40" s="16"/>
    </row>
    <row r="41" customFormat="false" ht="15" hidden="false" customHeight="false" outlineLevel="0" collapsed="false">
      <c r="A41" s="16" t="s">
        <v>212</v>
      </c>
      <c r="B41" s="16" t="s">
        <v>200</v>
      </c>
      <c r="C41" s="16" t="n">
        <v>3</v>
      </c>
      <c r="D41" s="16" t="s">
        <v>98</v>
      </c>
      <c r="E41" s="16" t="s">
        <v>99</v>
      </c>
      <c r="F41" s="16" t="s">
        <v>66</v>
      </c>
      <c r="G41" s="16" t="s">
        <v>212</v>
      </c>
      <c r="H41" s="16"/>
      <c r="I41" s="16"/>
      <c r="J41" s="16" t="s">
        <v>91</v>
      </c>
      <c r="K41" s="16" t="s">
        <v>99</v>
      </c>
      <c r="L41" s="16"/>
      <c r="M41" s="16"/>
      <c r="N41" s="16"/>
    </row>
    <row r="42" customFormat="false" ht="15" hidden="false" customHeight="false" outlineLevel="0" collapsed="false">
      <c r="A42" s="16" t="s">
        <v>213</v>
      </c>
      <c r="B42" s="16" t="s">
        <v>212</v>
      </c>
      <c r="C42" s="16" t="n">
        <v>4</v>
      </c>
      <c r="D42" s="16" t="s">
        <v>101</v>
      </c>
      <c r="E42" s="16" t="s">
        <v>214</v>
      </c>
      <c r="F42" s="16" t="s">
        <v>66</v>
      </c>
      <c r="G42" s="16" t="s">
        <v>212</v>
      </c>
      <c r="H42" s="16" t="s">
        <v>215</v>
      </c>
      <c r="I42" s="16"/>
      <c r="J42" s="16" t="s">
        <v>91</v>
      </c>
      <c r="K42" s="16" t="s">
        <v>99</v>
      </c>
      <c r="L42" s="16" t="s">
        <v>214</v>
      </c>
      <c r="M42" s="16"/>
      <c r="N42" s="16"/>
    </row>
    <row r="43" customFormat="false" ht="23.85" hidden="false" customHeight="false" outlineLevel="0" collapsed="false">
      <c r="A43" s="16" t="s">
        <v>216</v>
      </c>
      <c r="B43" s="16" t="s">
        <v>213</v>
      </c>
      <c r="C43" s="16" t="n">
        <v>5</v>
      </c>
      <c r="D43" s="16" t="s">
        <v>45</v>
      </c>
      <c r="E43" s="16" t="s">
        <v>217</v>
      </c>
      <c r="F43" s="16" t="s">
        <v>66</v>
      </c>
      <c r="G43" s="16" t="s">
        <v>212</v>
      </c>
      <c r="H43" s="16" t="s">
        <v>215</v>
      </c>
      <c r="I43" s="16" t="s">
        <v>218</v>
      </c>
      <c r="J43" s="16" t="s">
        <v>91</v>
      </c>
      <c r="K43" s="16" t="s">
        <v>99</v>
      </c>
      <c r="L43" s="16" t="s">
        <v>214</v>
      </c>
      <c r="M43" s="16" t="s">
        <v>219</v>
      </c>
      <c r="N43" s="16"/>
    </row>
    <row r="44" customFormat="false" ht="15" hidden="false" customHeight="false" outlineLevel="0" collapsed="false">
      <c r="A44" s="16" t="s">
        <v>220</v>
      </c>
      <c r="B44" s="16" t="s">
        <v>212</v>
      </c>
      <c r="C44" s="16" t="n">
        <v>4</v>
      </c>
      <c r="D44" s="16" t="s">
        <v>101</v>
      </c>
      <c r="E44" s="16" t="s">
        <v>221</v>
      </c>
      <c r="F44" s="16" t="s">
        <v>66</v>
      </c>
      <c r="G44" s="16" t="s">
        <v>212</v>
      </c>
      <c r="H44" s="16" t="s">
        <v>222</v>
      </c>
      <c r="I44" s="16"/>
      <c r="J44" s="16" t="s">
        <v>91</v>
      </c>
      <c r="K44" s="16" t="s">
        <v>99</v>
      </c>
      <c r="L44" s="16" t="s">
        <v>221</v>
      </c>
      <c r="M44" s="16"/>
      <c r="N44" s="16"/>
    </row>
    <row r="45" customFormat="false" ht="23.85" hidden="false" customHeight="false" outlineLevel="0" collapsed="false">
      <c r="A45" s="16" t="s">
        <v>223</v>
      </c>
      <c r="B45" s="16" t="s">
        <v>220</v>
      </c>
      <c r="C45" s="16" t="n">
        <v>5</v>
      </c>
      <c r="D45" s="16" t="s">
        <v>45</v>
      </c>
      <c r="E45" s="16" t="s">
        <v>224</v>
      </c>
      <c r="F45" s="16" t="s">
        <v>66</v>
      </c>
      <c r="G45" s="16" t="s">
        <v>212</v>
      </c>
      <c r="H45" s="16" t="s">
        <v>222</v>
      </c>
      <c r="I45" s="16" t="s">
        <v>106</v>
      </c>
      <c r="J45" s="16" t="s">
        <v>91</v>
      </c>
      <c r="K45" s="16" t="s">
        <v>99</v>
      </c>
      <c r="L45" s="16" t="s">
        <v>221</v>
      </c>
      <c r="M45" s="16" t="s">
        <v>225</v>
      </c>
      <c r="N45" s="16"/>
    </row>
    <row r="46" customFormat="false" ht="15" hidden="false" customHeight="false" outlineLevel="0" collapsed="false">
      <c r="A46" s="16" t="s">
        <v>226</v>
      </c>
      <c r="B46" s="16" t="s">
        <v>200</v>
      </c>
      <c r="C46" s="16" t="n">
        <v>3</v>
      </c>
      <c r="D46" s="16" t="s">
        <v>98</v>
      </c>
      <c r="E46" s="16" t="s">
        <v>227</v>
      </c>
      <c r="F46" s="16" t="s">
        <v>66</v>
      </c>
      <c r="G46" s="16" t="s">
        <v>226</v>
      </c>
      <c r="H46" s="16"/>
      <c r="I46" s="16"/>
      <c r="J46" s="16" t="s">
        <v>91</v>
      </c>
      <c r="K46" s="16" t="s">
        <v>227</v>
      </c>
      <c r="L46" s="16"/>
      <c r="M46" s="16"/>
      <c r="N46" s="16"/>
    </row>
    <row r="47" customFormat="false" ht="15" hidden="false" customHeight="false" outlineLevel="0" collapsed="false">
      <c r="A47" s="16" t="s">
        <v>228</v>
      </c>
      <c r="B47" s="16" t="s">
        <v>226</v>
      </c>
      <c r="C47" s="16" t="n">
        <v>4</v>
      </c>
      <c r="D47" s="16" t="s">
        <v>101</v>
      </c>
      <c r="E47" s="16" t="s">
        <v>229</v>
      </c>
      <c r="F47" s="16" t="s">
        <v>66</v>
      </c>
      <c r="G47" s="16" t="s">
        <v>226</v>
      </c>
      <c r="H47" s="16" t="s">
        <v>230</v>
      </c>
      <c r="I47" s="16"/>
      <c r="J47" s="16" t="s">
        <v>91</v>
      </c>
      <c r="K47" s="16" t="s">
        <v>227</v>
      </c>
      <c r="L47" s="16" t="s">
        <v>229</v>
      </c>
      <c r="M47" s="16"/>
      <c r="N47" s="16"/>
    </row>
    <row r="48" customFormat="false" ht="23.85" hidden="false" customHeight="false" outlineLevel="0" collapsed="false">
      <c r="A48" s="16" t="s">
        <v>231</v>
      </c>
      <c r="B48" s="16" t="s">
        <v>228</v>
      </c>
      <c r="C48" s="16" t="n">
        <v>5</v>
      </c>
      <c r="D48" s="16" t="s">
        <v>45</v>
      </c>
      <c r="E48" s="16" t="s">
        <v>232</v>
      </c>
      <c r="F48" s="16" t="s">
        <v>66</v>
      </c>
      <c r="G48" s="16" t="s">
        <v>226</v>
      </c>
      <c r="H48" s="16" t="s">
        <v>230</v>
      </c>
      <c r="I48" s="16" t="s">
        <v>106</v>
      </c>
      <c r="J48" s="16" t="s">
        <v>91</v>
      </c>
      <c r="K48" s="16" t="s">
        <v>227</v>
      </c>
      <c r="L48" s="16" t="s">
        <v>229</v>
      </c>
      <c r="M48" s="16" t="s">
        <v>233</v>
      </c>
      <c r="N48" s="16"/>
    </row>
    <row r="49" customFormat="false" ht="15" hidden="false" customHeight="false" outlineLevel="0" collapsed="false">
      <c r="A49" s="16" t="s">
        <v>234</v>
      </c>
      <c r="B49" s="16" t="s">
        <v>226</v>
      </c>
      <c r="C49" s="16" t="n">
        <v>4</v>
      </c>
      <c r="D49" s="16" t="s">
        <v>101</v>
      </c>
      <c r="E49" s="16" t="s">
        <v>235</v>
      </c>
      <c r="F49" s="16" t="s">
        <v>66</v>
      </c>
      <c r="G49" s="16" t="s">
        <v>226</v>
      </c>
      <c r="H49" s="16" t="s">
        <v>236</v>
      </c>
      <c r="I49" s="16"/>
      <c r="J49" s="16" t="s">
        <v>91</v>
      </c>
      <c r="K49" s="16" t="s">
        <v>227</v>
      </c>
      <c r="L49" s="16" t="s">
        <v>235</v>
      </c>
      <c r="M49" s="16"/>
      <c r="N49" s="16"/>
    </row>
    <row r="50" customFormat="false" ht="23.85" hidden="false" customHeight="false" outlineLevel="0" collapsed="false">
      <c r="A50" s="16" t="s">
        <v>237</v>
      </c>
      <c r="B50" s="16" t="s">
        <v>234</v>
      </c>
      <c r="C50" s="16" t="n">
        <v>5</v>
      </c>
      <c r="D50" s="16" t="s">
        <v>45</v>
      </c>
      <c r="E50" s="16" t="s">
        <v>238</v>
      </c>
      <c r="F50" s="16" t="s">
        <v>66</v>
      </c>
      <c r="G50" s="16" t="s">
        <v>226</v>
      </c>
      <c r="H50" s="16" t="s">
        <v>236</v>
      </c>
      <c r="I50" s="16" t="s">
        <v>106</v>
      </c>
      <c r="J50" s="16" t="s">
        <v>91</v>
      </c>
      <c r="K50" s="16" t="s">
        <v>227</v>
      </c>
      <c r="L50" s="16" t="s">
        <v>235</v>
      </c>
      <c r="M50" s="16" t="s">
        <v>239</v>
      </c>
      <c r="N50" s="16"/>
    </row>
    <row r="51" customFormat="false" ht="15" hidden="false" customHeight="false" outlineLevel="0" collapsed="false">
      <c r="A51" s="16" t="s">
        <v>240</v>
      </c>
      <c r="B51" s="16" t="s">
        <v>200</v>
      </c>
      <c r="C51" s="16" t="n">
        <v>3</v>
      </c>
      <c r="D51" s="16" t="s">
        <v>98</v>
      </c>
      <c r="E51" s="16" t="s">
        <v>241</v>
      </c>
      <c r="F51" s="16" t="s">
        <v>66</v>
      </c>
      <c r="G51" s="16" t="s">
        <v>240</v>
      </c>
      <c r="H51" s="16"/>
      <c r="I51" s="16"/>
      <c r="J51" s="16" t="s">
        <v>91</v>
      </c>
      <c r="K51" s="16" t="s">
        <v>241</v>
      </c>
      <c r="L51" s="16"/>
      <c r="M51" s="16"/>
      <c r="N51" s="16"/>
    </row>
    <row r="52" customFormat="false" ht="15" hidden="false" customHeight="false" outlineLevel="0" collapsed="false">
      <c r="A52" s="16" t="s">
        <v>242</v>
      </c>
      <c r="B52" s="16" t="s">
        <v>240</v>
      </c>
      <c r="C52" s="16" t="n">
        <v>4</v>
      </c>
      <c r="D52" s="16" t="s">
        <v>101</v>
      </c>
      <c r="E52" s="16" t="s">
        <v>243</v>
      </c>
      <c r="F52" s="16" t="s">
        <v>66</v>
      </c>
      <c r="G52" s="16" t="s">
        <v>240</v>
      </c>
      <c r="H52" s="16" t="s">
        <v>244</v>
      </c>
      <c r="I52" s="16"/>
      <c r="J52" s="16" t="s">
        <v>91</v>
      </c>
      <c r="K52" s="16" t="s">
        <v>241</v>
      </c>
      <c r="L52" s="16" t="s">
        <v>243</v>
      </c>
      <c r="M52" s="16"/>
      <c r="N52" s="16"/>
    </row>
    <row r="53" customFormat="false" ht="23.85" hidden="false" customHeight="false" outlineLevel="0" collapsed="false">
      <c r="A53" s="16" t="s">
        <v>245</v>
      </c>
      <c r="B53" s="16" t="s">
        <v>242</v>
      </c>
      <c r="C53" s="16" t="n">
        <v>5</v>
      </c>
      <c r="D53" s="16" t="s">
        <v>45</v>
      </c>
      <c r="E53" s="16" t="s">
        <v>246</v>
      </c>
      <c r="F53" s="16" t="s">
        <v>66</v>
      </c>
      <c r="G53" s="16" t="s">
        <v>240</v>
      </c>
      <c r="H53" s="16" t="s">
        <v>244</v>
      </c>
      <c r="I53" s="16" t="s">
        <v>218</v>
      </c>
      <c r="J53" s="16" t="s">
        <v>91</v>
      </c>
      <c r="K53" s="16" t="s">
        <v>241</v>
      </c>
      <c r="L53" s="16" t="s">
        <v>243</v>
      </c>
      <c r="M53" s="16" t="s">
        <v>247</v>
      </c>
      <c r="N53" s="16"/>
    </row>
    <row r="54" customFormat="false" ht="15" hidden="false" customHeight="false" outlineLevel="0" collapsed="false">
      <c r="A54" s="16" t="s">
        <v>248</v>
      </c>
      <c r="B54" s="16" t="s">
        <v>200</v>
      </c>
      <c r="C54" s="16" t="n">
        <v>3</v>
      </c>
      <c r="D54" s="16" t="s">
        <v>98</v>
      </c>
      <c r="E54" s="16" t="s">
        <v>249</v>
      </c>
      <c r="F54" s="16" t="s">
        <v>66</v>
      </c>
      <c r="G54" s="16" t="s">
        <v>248</v>
      </c>
      <c r="H54" s="16"/>
      <c r="I54" s="16"/>
      <c r="J54" s="16" t="s">
        <v>91</v>
      </c>
      <c r="K54" s="16" t="s">
        <v>249</v>
      </c>
      <c r="L54" s="16"/>
      <c r="M54" s="16"/>
      <c r="N54" s="16"/>
    </row>
    <row r="55" customFormat="false" ht="15" hidden="false" customHeight="false" outlineLevel="0" collapsed="false">
      <c r="A55" s="16" t="s">
        <v>250</v>
      </c>
      <c r="B55" s="16" t="s">
        <v>248</v>
      </c>
      <c r="C55" s="16" t="n">
        <v>4</v>
      </c>
      <c r="D55" s="16" t="s">
        <v>101</v>
      </c>
      <c r="E55" s="16" t="s">
        <v>251</v>
      </c>
      <c r="F55" s="16" t="s">
        <v>66</v>
      </c>
      <c r="G55" s="16" t="s">
        <v>248</v>
      </c>
      <c r="H55" s="16" t="s">
        <v>252</v>
      </c>
      <c r="I55" s="16"/>
      <c r="J55" s="16" t="s">
        <v>91</v>
      </c>
      <c r="K55" s="16" t="s">
        <v>249</v>
      </c>
      <c r="L55" s="16" t="s">
        <v>251</v>
      </c>
      <c r="M55" s="16"/>
      <c r="N55" s="16"/>
    </row>
    <row r="56" customFormat="false" ht="23.85" hidden="false" customHeight="false" outlineLevel="0" collapsed="false">
      <c r="A56" s="16" t="s">
        <v>253</v>
      </c>
      <c r="B56" s="16" t="s">
        <v>250</v>
      </c>
      <c r="C56" s="16" t="n">
        <v>5</v>
      </c>
      <c r="D56" s="16" t="s">
        <v>45</v>
      </c>
      <c r="E56" s="16" t="s">
        <v>254</v>
      </c>
      <c r="F56" s="16" t="s">
        <v>66</v>
      </c>
      <c r="G56" s="16" t="s">
        <v>248</v>
      </c>
      <c r="H56" s="16" t="s">
        <v>252</v>
      </c>
      <c r="I56" s="16" t="s">
        <v>218</v>
      </c>
      <c r="J56" s="16" t="s">
        <v>91</v>
      </c>
      <c r="K56" s="16" t="s">
        <v>249</v>
      </c>
      <c r="L56" s="16" t="s">
        <v>251</v>
      </c>
      <c r="M56" s="16" t="s">
        <v>255</v>
      </c>
      <c r="N56" s="16"/>
    </row>
    <row r="57" customFormat="false" ht="15" hidden="false" customHeight="false" outlineLevel="0" collapsed="false">
      <c r="A57" s="16" t="s">
        <v>256</v>
      </c>
      <c r="B57" s="16" t="s">
        <v>200</v>
      </c>
      <c r="C57" s="16" t="n">
        <v>3</v>
      </c>
      <c r="D57" s="16" t="s">
        <v>98</v>
      </c>
      <c r="E57" s="16" t="s">
        <v>257</v>
      </c>
      <c r="F57" s="16" t="s">
        <v>66</v>
      </c>
      <c r="G57" s="16" t="s">
        <v>256</v>
      </c>
      <c r="H57" s="16"/>
      <c r="I57" s="16"/>
      <c r="J57" s="16" t="s">
        <v>91</v>
      </c>
      <c r="K57" s="16" t="s">
        <v>257</v>
      </c>
      <c r="L57" s="16"/>
      <c r="M57" s="16"/>
      <c r="N57" s="16"/>
    </row>
    <row r="58" customFormat="false" ht="15" hidden="false" customHeight="false" outlineLevel="0" collapsed="false">
      <c r="A58" s="16" t="s">
        <v>258</v>
      </c>
      <c r="B58" s="16" t="s">
        <v>256</v>
      </c>
      <c r="C58" s="16" t="n">
        <v>4</v>
      </c>
      <c r="D58" s="16" t="s">
        <v>101</v>
      </c>
      <c r="E58" s="16" t="s">
        <v>259</v>
      </c>
      <c r="F58" s="16" t="s">
        <v>66</v>
      </c>
      <c r="G58" s="16" t="s">
        <v>256</v>
      </c>
      <c r="H58" s="16" t="s">
        <v>260</v>
      </c>
      <c r="I58" s="16"/>
      <c r="J58" s="16" t="s">
        <v>91</v>
      </c>
      <c r="K58" s="16" t="s">
        <v>257</v>
      </c>
      <c r="L58" s="16" t="s">
        <v>259</v>
      </c>
      <c r="M58" s="16"/>
      <c r="N58" s="16"/>
    </row>
    <row r="59" customFormat="false" ht="23.85" hidden="false" customHeight="false" outlineLevel="0" collapsed="false">
      <c r="A59" s="16" t="s">
        <v>261</v>
      </c>
      <c r="B59" s="16" t="s">
        <v>258</v>
      </c>
      <c r="C59" s="16" t="n">
        <v>5</v>
      </c>
      <c r="D59" s="16" t="s">
        <v>45</v>
      </c>
      <c r="E59" s="16" t="s">
        <v>262</v>
      </c>
      <c r="F59" s="16" t="s">
        <v>66</v>
      </c>
      <c r="G59" s="16" t="s">
        <v>256</v>
      </c>
      <c r="H59" s="16" t="s">
        <v>260</v>
      </c>
      <c r="I59" s="16" t="s">
        <v>106</v>
      </c>
      <c r="J59" s="16" t="s">
        <v>91</v>
      </c>
      <c r="K59" s="16" t="s">
        <v>257</v>
      </c>
      <c r="L59" s="16" t="s">
        <v>259</v>
      </c>
      <c r="M59" s="16" t="s">
        <v>263</v>
      </c>
      <c r="N59" s="16"/>
    </row>
    <row r="60" customFormat="false" ht="23.85" hidden="false" customHeight="false" outlineLevel="0" collapsed="false">
      <c r="A60" s="16" t="s">
        <v>264</v>
      </c>
      <c r="B60" s="16" t="s">
        <v>200</v>
      </c>
      <c r="C60" s="16" t="n">
        <v>3</v>
      </c>
      <c r="D60" s="16" t="s">
        <v>98</v>
      </c>
      <c r="E60" s="16" t="s">
        <v>265</v>
      </c>
      <c r="F60" s="16" t="s">
        <v>66</v>
      </c>
      <c r="G60" s="16" t="s">
        <v>264</v>
      </c>
      <c r="H60" s="16"/>
      <c r="I60" s="16"/>
      <c r="J60" s="16" t="s">
        <v>91</v>
      </c>
      <c r="K60" s="16" t="s">
        <v>266</v>
      </c>
      <c r="L60" s="16"/>
      <c r="M60" s="16"/>
      <c r="N60" s="16" t="s">
        <v>267</v>
      </c>
    </row>
    <row r="61" customFormat="false" ht="23.85" hidden="false" customHeight="false" outlineLevel="0" collapsed="false">
      <c r="A61" s="16" t="s">
        <v>268</v>
      </c>
      <c r="B61" s="16" t="s">
        <v>264</v>
      </c>
      <c r="C61" s="16" t="n">
        <v>4</v>
      </c>
      <c r="D61" s="16" t="s">
        <v>101</v>
      </c>
      <c r="E61" s="16" t="s">
        <v>269</v>
      </c>
      <c r="F61" s="16" t="s">
        <v>66</v>
      </c>
      <c r="G61" s="16" t="s">
        <v>264</v>
      </c>
      <c r="H61" s="16" t="s">
        <v>270</v>
      </c>
      <c r="I61" s="16"/>
      <c r="J61" s="16" t="s">
        <v>91</v>
      </c>
      <c r="K61" s="16" t="s">
        <v>271</v>
      </c>
      <c r="L61" s="16" t="s">
        <v>269</v>
      </c>
      <c r="M61" s="16"/>
      <c r="N61" s="16"/>
    </row>
    <row r="62" customFormat="false" ht="23.85" hidden="false" customHeight="false" outlineLevel="0" collapsed="false">
      <c r="A62" s="16" t="s">
        <v>272</v>
      </c>
      <c r="B62" s="16" t="s">
        <v>268</v>
      </c>
      <c r="C62" s="16" t="n">
        <v>5</v>
      </c>
      <c r="D62" s="16" t="s">
        <v>45</v>
      </c>
      <c r="E62" s="16" t="s">
        <v>273</v>
      </c>
      <c r="F62" s="16" t="s">
        <v>66</v>
      </c>
      <c r="G62" s="16" t="s">
        <v>264</v>
      </c>
      <c r="H62" s="16" t="s">
        <v>270</v>
      </c>
      <c r="I62" s="16" t="s">
        <v>274</v>
      </c>
      <c r="J62" s="16" t="s">
        <v>91</v>
      </c>
      <c r="K62" s="16" t="s">
        <v>271</v>
      </c>
      <c r="L62" s="16" t="s">
        <v>269</v>
      </c>
      <c r="M62" s="16" t="s">
        <v>275</v>
      </c>
      <c r="N62" s="16"/>
    </row>
    <row r="63" customFormat="false" ht="15" hidden="false" customHeight="false" outlineLevel="0" collapsed="false">
      <c r="A63" s="17" t="s">
        <v>276</v>
      </c>
      <c r="B63" s="17" t="s">
        <v>264</v>
      </c>
      <c r="C63" s="17" t="n">
        <v>4</v>
      </c>
      <c r="D63" s="17" t="s">
        <v>101</v>
      </c>
      <c r="E63" s="17" t="s">
        <v>277</v>
      </c>
      <c r="F63" s="17" t="s">
        <v>66</v>
      </c>
      <c r="G63" s="17" t="s">
        <v>264</v>
      </c>
      <c r="H63" s="17" t="s">
        <v>278</v>
      </c>
      <c r="I63" s="17"/>
      <c r="J63" s="17" t="s">
        <v>149</v>
      </c>
      <c r="K63" s="17" t="s">
        <v>279</v>
      </c>
      <c r="L63" s="17" t="s">
        <v>277</v>
      </c>
      <c r="M63" s="17"/>
      <c r="N63" s="17"/>
    </row>
    <row r="64" customFormat="false" ht="15" hidden="false" customHeight="false" outlineLevel="0" collapsed="false">
      <c r="A64" s="17" t="s">
        <v>280</v>
      </c>
      <c r="B64" s="17" t="s">
        <v>276</v>
      </c>
      <c r="C64" s="17" t="n">
        <v>5</v>
      </c>
      <c r="D64" s="17" t="s">
        <v>45</v>
      </c>
      <c r="E64" s="17" t="s">
        <v>281</v>
      </c>
      <c r="F64" s="17" t="s">
        <v>66</v>
      </c>
      <c r="G64" s="17" t="s">
        <v>264</v>
      </c>
      <c r="H64" s="17" t="s">
        <v>278</v>
      </c>
      <c r="I64" s="17" t="s">
        <v>282</v>
      </c>
      <c r="J64" s="17" t="s">
        <v>149</v>
      </c>
      <c r="K64" s="17" t="s">
        <v>279</v>
      </c>
      <c r="L64" s="17" t="s">
        <v>277</v>
      </c>
      <c r="M64" s="17"/>
      <c r="N64" s="17"/>
    </row>
    <row r="65" customFormat="false" ht="15" hidden="false" customHeight="false" outlineLevel="0" collapsed="false">
      <c r="A65" s="17" t="s">
        <v>283</v>
      </c>
      <c r="B65" s="17" t="s">
        <v>264</v>
      </c>
      <c r="C65" s="17" t="n">
        <v>4</v>
      </c>
      <c r="D65" s="17" t="s">
        <v>101</v>
      </c>
      <c r="E65" s="17" t="s">
        <v>284</v>
      </c>
      <c r="F65" s="17" t="s">
        <v>66</v>
      </c>
      <c r="G65" s="17" t="s">
        <v>264</v>
      </c>
      <c r="H65" s="17" t="s">
        <v>285</v>
      </c>
      <c r="I65" s="17"/>
      <c r="J65" s="17" t="s">
        <v>149</v>
      </c>
      <c r="K65" s="17" t="s">
        <v>286</v>
      </c>
      <c r="L65" s="17" t="s">
        <v>284</v>
      </c>
      <c r="M65" s="17"/>
      <c r="N65" s="17"/>
    </row>
    <row r="66" customFormat="false" ht="15" hidden="false" customHeight="false" outlineLevel="0" collapsed="false">
      <c r="A66" s="17" t="s">
        <v>287</v>
      </c>
      <c r="B66" s="17" t="s">
        <v>283</v>
      </c>
      <c r="C66" s="17" t="n">
        <v>5</v>
      </c>
      <c r="D66" s="17" t="s">
        <v>45</v>
      </c>
      <c r="E66" s="17" t="s">
        <v>288</v>
      </c>
      <c r="F66" s="17" t="s">
        <v>66</v>
      </c>
      <c r="G66" s="17" t="s">
        <v>264</v>
      </c>
      <c r="H66" s="17" t="s">
        <v>285</v>
      </c>
      <c r="I66" s="17" t="s">
        <v>172</v>
      </c>
      <c r="J66" s="17" t="s">
        <v>149</v>
      </c>
      <c r="K66" s="17" t="s">
        <v>286</v>
      </c>
      <c r="L66" s="17" t="s">
        <v>284</v>
      </c>
      <c r="M66" s="17"/>
      <c r="N66" s="17"/>
    </row>
    <row r="67" customFormat="false" ht="15" hidden="false" customHeight="false" outlineLevel="0" collapsed="false">
      <c r="A67" s="16" t="s">
        <v>289</v>
      </c>
      <c r="B67" s="16" t="s">
        <v>200</v>
      </c>
      <c r="C67" s="16" t="n">
        <v>3</v>
      </c>
      <c r="D67" s="16" t="s">
        <v>98</v>
      </c>
      <c r="E67" s="16" t="s">
        <v>290</v>
      </c>
      <c r="F67" s="16" t="s">
        <v>66</v>
      </c>
      <c r="G67" s="16" t="s">
        <v>289</v>
      </c>
      <c r="H67" s="16"/>
      <c r="I67" s="16"/>
      <c r="J67" s="16" t="s">
        <v>91</v>
      </c>
      <c r="K67" s="16" t="s">
        <v>291</v>
      </c>
      <c r="L67" s="16"/>
      <c r="M67" s="16"/>
      <c r="N67" s="16"/>
    </row>
    <row r="68" customFormat="false" ht="15" hidden="false" customHeight="false" outlineLevel="0" collapsed="false">
      <c r="A68" s="16" t="s">
        <v>292</v>
      </c>
      <c r="B68" s="16" t="s">
        <v>289</v>
      </c>
      <c r="C68" s="16" t="n">
        <v>4</v>
      </c>
      <c r="D68" s="16" t="s">
        <v>101</v>
      </c>
      <c r="E68" s="16" t="s">
        <v>293</v>
      </c>
      <c r="F68" s="16" t="s">
        <v>66</v>
      </c>
      <c r="G68" s="16" t="s">
        <v>289</v>
      </c>
      <c r="H68" s="16" t="s">
        <v>294</v>
      </c>
      <c r="I68" s="16"/>
      <c r="J68" s="16" t="s">
        <v>91</v>
      </c>
      <c r="K68" s="16" t="s">
        <v>291</v>
      </c>
      <c r="L68" s="16" t="s">
        <v>293</v>
      </c>
      <c r="M68" s="16"/>
      <c r="N68" s="16"/>
    </row>
    <row r="69" customFormat="false" ht="23.85" hidden="false" customHeight="false" outlineLevel="0" collapsed="false">
      <c r="A69" s="16" t="s">
        <v>295</v>
      </c>
      <c r="B69" s="16" t="s">
        <v>292</v>
      </c>
      <c r="C69" s="16" t="n">
        <v>5</v>
      </c>
      <c r="D69" s="16" t="s">
        <v>45</v>
      </c>
      <c r="E69" s="16" t="s">
        <v>296</v>
      </c>
      <c r="F69" s="16" t="s">
        <v>66</v>
      </c>
      <c r="G69" s="16" t="s">
        <v>289</v>
      </c>
      <c r="H69" s="16" t="s">
        <v>294</v>
      </c>
      <c r="I69" s="16" t="s">
        <v>106</v>
      </c>
      <c r="J69" s="16" t="s">
        <v>91</v>
      </c>
      <c r="K69" s="16" t="s">
        <v>291</v>
      </c>
      <c r="L69" s="16" t="s">
        <v>293</v>
      </c>
      <c r="M69" s="16" t="s">
        <v>297</v>
      </c>
      <c r="N69" s="16"/>
    </row>
    <row r="70" customFormat="false" ht="15" hidden="false" customHeight="false" outlineLevel="0" collapsed="false">
      <c r="A70" s="17" t="s">
        <v>298</v>
      </c>
      <c r="B70" s="17" t="s">
        <v>200</v>
      </c>
      <c r="C70" s="17" t="n">
        <v>3</v>
      </c>
      <c r="D70" s="17" t="s">
        <v>98</v>
      </c>
      <c r="E70" s="17" t="s">
        <v>299</v>
      </c>
      <c r="F70" s="17" t="s">
        <v>66</v>
      </c>
      <c r="G70" s="17" t="s">
        <v>298</v>
      </c>
      <c r="H70" s="17"/>
      <c r="I70" s="17"/>
      <c r="J70" s="17" t="s">
        <v>149</v>
      </c>
      <c r="K70" s="17" t="s">
        <v>300</v>
      </c>
      <c r="L70" s="17"/>
      <c r="M70" s="17"/>
      <c r="N70" s="17" t="s">
        <v>301</v>
      </c>
    </row>
    <row r="71" customFormat="false" ht="15" hidden="false" customHeight="false" outlineLevel="0" collapsed="false">
      <c r="A71" s="17" t="s">
        <v>302</v>
      </c>
      <c r="B71" s="17" t="s">
        <v>298</v>
      </c>
      <c r="C71" s="17" t="n">
        <v>4</v>
      </c>
      <c r="D71" s="17" t="s">
        <v>101</v>
      </c>
      <c r="E71" s="17" t="s">
        <v>303</v>
      </c>
      <c r="F71" s="17" t="s">
        <v>66</v>
      </c>
      <c r="G71" s="17" t="s">
        <v>298</v>
      </c>
      <c r="H71" s="17" t="s">
        <v>304</v>
      </c>
      <c r="I71" s="17"/>
      <c r="J71" s="17" t="s">
        <v>149</v>
      </c>
      <c r="K71" s="17" t="s">
        <v>300</v>
      </c>
      <c r="L71" s="17" t="s">
        <v>303</v>
      </c>
      <c r="M71" s="17"/>
      <c r="N71" s="17"/>
    </row>
    <row r="72" customFormat="false" ht="15" hidden="false" customHeight="false" outlineLevel="0" collapsed="false">
      <c r="A72" s="17" t="s">
        <v>305</v>
      </c>
      <c r="B72" s="17" t="s">
        <v>302</v>
      </c>
      <c r="C72" s="17" t="n">
        <v>5</v>
      </c>
      <c r="D72" s="17" t="s">
        <v>45</v>
      </c>
      <c r="E72" s="17" t="s">
        <v>306</v>
      </c>
      <c r="F72" s="17" t="s">
        <v>66</v>
      </c>
      <c r="G72" s="17" t="s">
        <v>298</v>
      </c>
      <c r="H72" s="17" t="s">
        <v>304</v>
      </c>
      <c r="I72" s="17" t="s">
        <v>307</v>
      </c>
      <c r="J72" s="17" t="s">
        <v>149</v>
      </c>
      <c r="K72" s="17" t="s">
        <v>300</v>
      </c>
      <c r="L72" s="17" t="s">
        <v>303</v>
      </c>
      <c r="M72" s="17"/>
      <c r="N72" s="17"/>
    </row>
    <row r="73" customFormat="false" ht="15" hidden="false" customHeight="false" outlineLevel="0" collapsed="false">
      <c r="A73" s="17" t="s">
        <v>308</v>
      </c>
      <c r="B73" s="17" t="s">
        <v>200</v>
      </c>
      <c r="C73" s="17" t="n">
        <v>3</v>
      </c>
      <c r="D73" s="17" t="s">
        <v>98</v>
      </c>
      <c r="E73" s="17" t="s">
        <v>309</v>
      </c>
      <c r="F73" s="17" t="s">
        <v>66</v>
      </c>
      <c r="G73" s="17" t="s">
        <v>308</v>
      </c>
      <c r="H73" s="17"/>
      <c r="I73" s="17"/>
      <c r="J73" s="17" t="s">
        <v>149</v>
      </c>
      <c r="K73" s="17" t="s">
        <v>309</v>
      </c>
      <c r="L73" s="17"/>
      <c r="M73" s="17"/>
      <c r="N73" s="17" t="s">
        <v>301</v>
      </c>
    </row>
    <row r="74" customFormat="false" ht="15" hidden="false" customHeight="false" outlineLevel="0" collapsed="false">
      <c r="A74" s="17" t="s">
        <v>310</v>
      </c>
      <c r="B74" s="17" t="s">
        <v>308</v>
      </c>
      <c r="C74" s="17" t="n">
        <v>4</v>
      </c>
      <c r="D74" s="17" t="s">
        <v>101</v>
      </c>
      <c r="E74" s="17" t="s">
        <v>311</v>
      </c>
      <c r="F74" s="17" t="s">
        <v>66</v>
      </c>
      <c r="G74" s="17" t="s">
        <v>308</v>
      </c>
      <c r="H74" s="17" t="s">
        <v>312</v>
      </c>
      <c r="I74" s="17"/>
      <c r="J74" s="17" t="s">
        <v>149</v>
      </c>
      <c r="K74" s="17" t="s">
        <v>309</v>
      </c>
      <c r="L74" s="17" t="s">
        <v>311</v>
      </c>
      <c r="M74" s="17"/>
      <c r="N74" s="17"/>
    </row>
    <row r="75" customFormat="false" ht="15" hidden="false" customHeight="false" outlineLevel="0" collapsed="false">
      <c r="A75" s="17" t="s">
        <v>313</v>
      </c>
      <c r="B75" s="17" t="s">
        <v>310</v>
      </c>
      <c r="C75" s="17" t="n">
        <v>5</v>
      </c>
      <c r="D75" s="17" t="s">
        <v>45</v>
      </c>
      <c r="E75" s="17" t="s">
        <v>314</v>
      </c>
      <c r="F75" s="17" t="s">
        <v>66</v>
      </c>
      <c r="G75" s="17" t="s">
        <v>308</v>
      </c>
      <c r="H75" s="17" t="s">
        <v>312</v>
      </c>
      <c r="I75" s="17" t="s">
        <v>106</v>
      </c>
      <c r="J75" s="17" t="s">
        <v>149</v>
      </c>
      <c r="K75" s="17" t="s">
        <v>309</v>
      </c>
      <c r="L75" s="17" t="s">
        <v>311</v>
      </c>
      <c r="M75" s="17"/>
      <c r="N75" s="17"/>
    </row>
    <row r="76" customFormat="false" ht="23.85" hidden="false" customHeight="false" outlineLevel="0" collapsed="false">
      <c r="A76" s="14" t="s">
        <v>68</v>
      </c>
      <c r="B76" s="14"/>
      <c r="C76" s="14" t="n">
        <v>1</v>
      </c>
      <c r="D76" s="14" t="s">
        <v>25</v>
      </c>
      <c r="E76" s="14" t="s">
        <v>67</v>
      </c>
      <c r="F76" s="14" t="s">
        <v>68</v>
      </c>
      <c r="G76" s="14"/>
      <c r="H76" s="14"/>
      <c r="I76" s="14"/>
      <c r="J76" s="14" t="s">
        <v>91</v>
      </c>
      <c r="K76" s="14"/>
      <c r="L76" s="14"/>
      <c r="M76" s="14"/>
      <c r="N76" s="14" t="s">
        <v>92</v>
      </c>
    </row>
    <row r="77" customFormat="false" ht="15" hidden="false" customHeight="false" outlineLevel="0" collapsed="false">
      <c r="A77" s="15" t="s">
        <v>315</v>
      </c>
      <c r="B77" s="15" t="s">
        <v>68</v>
      </c>
      <c r="C77" s="15" t="n">
        <v>2</v>
      </c>
      <c r="D77" s="15" t="s">
        <v>94</v>
      </c>
      <c r="E77" s="15" t="s">
        <v>316</v>
      </c>
      <c r="F77" s="15" t="s">
        <v>68</v>
      </c>
      <c r="G77" s="15"/>
      <c r="H77" s="15"/>
      <c r="I77" s="15"/>
      <c r="J77" s="15" t="s">
        <v>91</v>
      </c>
      <c r="K77" s="15"/>
      <c r="L77" s="15"/>
      <c r="M77" s="15"/>
      <c r="N77" s="15" t="s">
        <v>96</v>
      </c>
    </row>
    <row r="78" customFormat="false" ht="15" hidden="false" customHeight="false" outlineLevel="0" collapsed="false">
      <c r="A78" s="16" t="s">
        <v>317</v>
      </c>
      <c r="B78" s="16" t="s">
        <v>315</v>
      </c>
      <c r="C78" s="16" t="n">
        <v>3</v>
      </c>
      <c r="D78" s="16" t="s">
        <v>98</v>
      </c>
      <c r="E78" s="16" t="s">
        <v>318</v>
      </c>
      <c r="F78" s="16" t="s">
        <v>68</v>
      </c>
      <c r="G78" s="16" t="s">
        <v>317</v>
      </c>
      <c r="H78" s="16"/>
      <c r="I78" s="16"/>
      <c r="J78" s="16" t="s">
        <v>91</v>
      </c>
      <c r="K78" s="16" t="s">
        <v>318</v>
      </c>
      <c r="L78" s="16"/>
      <c r="M78" s="16"/>
      <c r="N78" s="16"/>
    </row>
    <row r="79" customFormat="false" ht="15" hidden="false" customHeight="false" outlineLevel="0" collapsed="false">
      <c r="A79" s="16" t="s">
        <v>319</v>
      </c>
      <c r="B79" s="16" t="s">
        <v>317</v>
      </c>
      <c r="C79" s="16" t="n">
        <v>4</v>
      </c>
      <c r="D79" s="16" t="s">
        <v>101</v>
      </c>
      <c r="E79" s="16" t="s">
        <v>320</v>
      </c>
      <c r="F79" s="16" t="s">
        <v>68</v>
      </c>
      <c r="G79" s="16" t="s">
        <v>317</v>
      </c>
      <c r="H79" s="16" t="s">
        <v>321</v>
      </c>
      <c r="I79" s="16"/>
      <c r="J79" s="16" t="s">
        <v>91</v>
      </c>
      <c r="K79" s="16" t="s">
        <v>318</v>
      </c>
      <c r="L79" s="16" t="s">
        <v>320</v>
      </c>
      <c r="M79" s="16"/>
      <c r="N79" s="16"/>
    </row>
    <row r="80" customFormat="false" ht="23.85" hidden="false" customHeight="false" outlineLevel="0" collapsed="false">
      <c r="A80" s="16" t="s">
        <v>322</v>
      </c>
      <c r="B80" s="16" t="s">
        <v>319</v>
      </c>
      <c r="C80" s="16" t="n">
        <v>5</v>
      </c>
      <c r="D80" s="16" t="s">
        <v>45</v>
      </c>
      <c r="E80" s="16" t="s">
        <v>323</v>
      </c>
      <c r="F80" s="16" t="s">
        <v>68</v>
      </c>
      <c r="G80" s="16" t="s">
        <v>317</v>
      </c>
      <c r="H80" s="16" t="s">
        <v>321</v>
      </c>
      <c r="I80" s="16" t="s">
        <v>138</v>
      </c>
      <c r="J80" s="16" t="s">
        <v>91</v>
      </c>
      <c r="K80" s="16" t="s">
        <v>318</v>
      </c>
      <c r="L80" s="16" t="s">
        <v>320</v>
      </c>
      <c r="M80" s="16" t="s">
        <v>324</v>
      </c>
      <c r="N80" s="16"/>
    </row>
    <row r="81" customFormat="false" ht="15" hidden="false" customHeight="false" outlineLevel="0" collapsed="false">
      <c r="A81" s="16" t="s">
        <v>325</v>
      </c>
      <c r="B81" s="16" t="s">
        <v>317</v>
      </c>
      <c r="C81" s="16" t="n">
        <v>4</v>
      </c>
      <c r="D81" s="16" t="s">
        <v>101</v>
      </c>
      <c r="E81" s="16" t="s">
        <v>326</v>
      </c>
      <c r="F81" s="16" t="s">
        <v>68</v>
      </c>
      <c r="G81" s="16" t="s">
        <v>317</v>
      </c>
      <c r="H81" s="16" t="s">
        <v>327</v>
      </c>
      <c r="I81" s="16"/>
      <c r="J81" s="16" t="s">
        <v>91</v>
      </c>
      <c r="K81" s="16" t="s">
        <v>318</v>
      </c>
      <c r="L81" s="16" t="s">
        <v>326</v>
      </c>
      <c r="M81" s="16"/>
      <c r="N81" s="16"/>
    </row>
    <row r="82" customFormat="false" ht="23.85" hidden="false" customHeight="false" outlineLevel="0" collapsed="false">
      <c r="A82" s="16" t="s">
        <v>328</v>
      </c>
      <c r="B82" s="16" t="s">
        <v>325</v>
      </c>
      <c r="C82" s="16" t="n">
        <v>5</v>
      </c>
      <c r="D82" s="16" t="s">
        <v>45</v>
      </c>
      <c r="E82" s="16" t="s">
        <v>329</v>
      </c>
      <c r="F82" s="16" t="s">
        <v>68</v>
      </c>
      <c r="G82" s="16" t="s">
        <v>317</v>
      </c>
      <c r="H82" s="16" t="s">
        <v>327</v>
      </c>
      <c r="I82" s="16" t="s">
        <v>106</v>
      </c>
      <c r="J82" s="16" t="s">
        <v>91</v>
      </c>
      <c r="K82" s="16" t="s">
        <v>318</v>
      </c>
      <c r="L82" s="16" t="s">
        <v>326</v>
      </c>
      <c r="M82" s="16" t="s">
        <v>330</v>
      </c>
      <c r="N82" s="16"/>
    </row>
    <row r="83" customFormat="false" ht="23.85" hidden="false" customHeight="false" outlineLevel="0" collapsed="false">
      <c r="A83" s="16" t="s">
        <v>331</v>
      </c>
      <c r="B83" s="16" t="s">
        <v>315</v>
      </c>
      <c r="C83" s="16" t="n">
        <v>3</v>
      </c>
      <c r="D83" s="16" t="s">
        <v>98</v>
      </c>
      <c r="E83" s="16" t="s">
        <v>332</v>
      </c>
      <c r="F83" s="16" t="s">
        <v>68</v>
      </c>
      <c r="G83" s="16" t="s">
        <v>331</v>
      </c>
      <c r="H83" s="16"/>
      <c r="I83" s="16"/>
      <c r="J83" s="16" t="s">
        <v>91</v>
      </c>
      <c r="K83" s="16" t="s">
        <v>333</v>
      </c>
      <c r="L83" s="16"/>
      <c r="M83" s="16"/>
      <c r="N83" s="16" t="s">
        <v>334</v>
      </c>
    </row>
    <row r="84" customFormat="false" ht="15" hidden="false" customHeight="false" outlineLevel="0" collapsed="false">
      <c r="A84" s="16" t="s">
        <v>335</v>
      </c>
      <c r="B84" s="16" t="s">
        <v>331</v>
      </c>
      <c r="C84" s="16" t="n">
        <v>4</v>
      </c>
      <c r="D84" s="16" t="s">
        <v>101</v>
      </c>
      <c r="E84" s="16" t="s">
        <v>336</v>
      </c>
      <c r="F84" s="16" t="s">
        <v>68</v>
      </c>
      <c r="G84" s="16" t="s">
        <v>331</v>
      </c>
      <c r="H84" s="16" t="s">
        <v>337</v>
      </c>
      <c r="I84" s="16"/>
      <c r="J84" s="16" t="s">
        <v>91</v>
      </c>
      <c r="K84" s="16" t="s">
        <v>338</v>
      </c>
      <c r="L84" s="16" t="s">
        <v>336</v>
      </c>
      <c r="M84" s="16"/>
      <c r="N84" s="16"/>
    </row>
    <row r="85" customFormat="false" ht="23.85" hidden="false" customHeight="false" outlineLevel="0" collapsed="false">
      <c r="A85" s="16" t="s">
        <v>339</v>
      </c>
      <c r="B85" s="16" t="s">
        <v>335</v>
      </c>
      <c r="C85" s="16" t="n">
        <v>5</v>
      </c>
      <c r="D85" s="16" t="s">
        <v>45</v>
      </c>
      <c r="E85" s="16" t="s">
        <v>340</v>
      </c>
      <c r="F85" s="16" t="s">
        <v>68</v>
      </c>
      <c r="G85" s="16" t="s">
        <v>331</v>
      </c>
      <c r="H85" s="16" t="s">
        <v>337</v>
      </c>
      <c r="I85" s="16" t="s">
        <v>152</v>
      </c>
      <c r="J85" s="16" t="s">
        <v>91</v>
      </c>
      <c r="K85" s="16" t="s">
        <v>338</v>
      </c>
      <c r="L85" s="16" t="s">
        <v>336</v>
      </c>
      <c r="M85" s="16" t="s">
        <v>341</v>
      </c>
      <c r="N85" s="16"/>
    </row>
    <row r="86" customFormat="false" ht="15" hidden="false" customHeight="false" outlineLevel="0" collapsed="false">
      <c r="A86" s="16" t="s">
        <v>342</v>
      </c>
      <c r="B86" s="16" t="s">
        <v>331</v>
      </c>
      <c r="C86" s="16" t="n">
        <v>4</v>
      </c>
      <c r="D86" s="16" t="s">
        <v>101</v>
      </c>
      <c r="E86" s="16" t="s">
        <v>343</v>
      </c>
      <c r="F86" s="16" t="s">
        <v>68</v>
      </c>
      <c r="G86" s="16" t="s">
        <v>331</v>
      </c>
      <c r="H86" s="16" t="s">
        <v>344</v>
      </c>
      <c r="I86" s="16"/>
      <c r="J86" s="16" t="s">
        <v>91</v>
      </c>
      <c r="K86" s="16" t="s">
        <v>345</v>
      </c>
      <c r="L86" s="16" t="s">
        <v>343</v>
      </c>
      <c r="M86" s="16"/>
      <c r="N86" s="16"/>
    </row>
    <row r="87" customFormat="false" ht="23.85" hidden="false" customHeight="false" outlineLevel="0" collapsed="false">
      <c r="A87" s="16" t="s">
        <v>346</v>
      </c>
      <c r="B87" s="16" t="s">
        <v>342</v>
      </c>
      <c r="C87" s="16" t="n">
        <v>5</v>
      </c>
      <c r="D87" s="16" t="s">
        <v>45</v>
      </c>
      <c r="E87" s="16" t="s">
        <v>347</v>
      </c>
      <c r="F87" s="16" t="s">
        <v>68</v>
      </c>
      <c r="G87" s="16" t="s">
        <v>331</v>
      </c>
      <c r="H87" s="16" t="s">
        <v>344</v>
      </c>
      <c r="I87" s="16" t="s">
        <v>348</v>
      </c>
      <c r="J87" s="16" t="s">
        <v>91</v>
      </c>
      <c r="K87" s="16" t="s">
        <v>345</v>
      </c>
      <c r="L87" s="16" t="s">
        <v>343</v>
      </c>
      <c r="M87" s="16" t="s">
        <v>349</v>
      </c>
      <c r="N87" s="16"/>
    </row>
    <row r="88" customFormat="false" ht="15" hidden="false" customHeight="false" outlineLevel="0" collapsed="false">
      <c r="A88" s="16" t="s">
        <v>350</v>
      </c>
      <c r="B88" s="16" t="s">
        <v>315</v>
      </c>
      <c r="C88" s="16" t="n">
        <v>3</v>
      </c>
      <c r="D88" s="16" t="s">
        <v>98</v>
      </c>
      <c r="E88" s="16" t="s">
        <v>351</v>
      </c>
      <c r="F88" s="16" t="s">
        <v>68</v>
      </c>
      <c r="G88" s="16" t="s">
        <v>350</v>
      </c>
      <c r="H88" s="16"/>
      <c r="I88" s="16"/>
      <c r="J88" s="16" t="s">
        <v>91</v>
      </c>
      <c r="K88" s="16" t="s">
        <v>351</v>
      </c>
      <c r="L88" s="16"/>
      <c r="M88" s="16"/>
      <c r="N88" s="16"/>
    </row>
    <row r="89" customFormat="false" ht="15" hidden="false" customHeight="false" outlineLevel="0" collapsed="false">
      <c r="A89" s="16" t="s">
        <v>352</v>
      </c>
      <c r="B89" s="16" t="s">
        <v>350</v>
      </c>
      <c r="C89" s="16" t="n">
        <v>4</v>
      </c>
      <c r="D89" s="16" t="s">
        <v>101</v>
      </c>
      <c r="E89" s="16" t="s">
        <v>353</v>
      </c>
      <c r="F89" s="16" t="s">
        <v>68</v>
      </c>
      <c r="G89" s="16" t="s">
        <v>350</v>
      </c>
      <c r="H89" s="16" t="s">
        <v>354</v>
      </c>
      <c r="I89" s="16"/>
      <c r="J89" s="16" t="s">
        <v>91</v>
      </c>
      <c r="K89" s="16" t="s">
        <v>351</v>
      </c>
      <c r="L89" s="16" t="s">
        <v>353</v>
      </c>
      <c r="M89" s="16"/>
      <c r="N89" s="16"/>
    </row>
    <row r="90" customFormat="false" ht="15" hidden="false" customHeight="false" outlineLevel="0" collapsed="false">
      <c r="A90" s="16" t="s">
        <v>355</v>
      </c>
      <c r="B90" s="16" t="s">
        <v>352</v>
      </c>
      <c r="C90" s="16" t="n">
        <v>5</v>
      </c>
      <c r="D90" s="16" t="s">
        <v>45</v>
      </c>
      <c r="E90" s="16" t="s">
        <v>356</v>
      </c>
      <c r="F90" s="16" t="s">
        <v>68</v>
      </c>
      <c r="G90" s="16" t="s">
        <v>350</v>
      </c>
      <c r="H90" s="16" t="s">
        <v>354</v>
      </c>
      <c r="I90" s="16" t="s">
        <v>138</v>
      </c>
      <c r="J90" s="16" t="s">
        <v>91</v>
      </c>
      <c r="K90" s="16" t="s">
        <v>351</v>
      </c>
      <c r="L90" s="16" t="s">
        <v>353</v>
      </c>
      <c r="M90" s="16" t="s">
        <v>357</v>
      </c>
      <c r="N90" s="16"/>
    </row>
    <row r="91" customFormat="false" ht="15" hidden="false" customHeight="false" outlineLevel="0" collapsed="false">
      <c r="A91" s="16" t="s">
        <v>358</v>
      </c>
      <c r="B91" s="16" t="s">
        <v>315</v>
      </c>
      <c r="C91" s="16" t="n">
        <v>3</v>
      </c>
      <c r="D91" s="16" t="s">
        <v>98</v>
      </c>
      <c r="E91" s="16" t="s">
        <v>241</v>
      </c>
      <c r="F91" s="16" t="s">
        <v>68</v>
      </c>
      <c r="G91" s="16" t="s">
        <v>358</v>
      </c>
      <c r="H91" s="16"/>
      <c r="I91" s="16"/>
      <c r="J91" s="16" t="s">
        <v>91</v>
      </c>
      <c r="K91" s="16" t="s">
        <v>241</v>
      </c>
      <c r="L91" s="16"/>
      <c r="M91" s="16"/>
      <c r="N91" s="16"/>
    </row>
    <row r="92" customFormat="false" ht="15" hidden="false" customHeight="false" outlineLevel="0" collapsed="false">
      <c r="A92" s="16" t="s">
        <v>359</v>
      </c>
      <c r="B92" s="16" t="s">
        <v>358</v>
      </c>
      <c r="C92" s="16" t="n">
        <v>4</v>
      </c>
      <c r="D92" s="16" t="s">
        <v>101</v>
      </c>
      <c r="E92" s="16" t="s">
        <v>360</v>
      </c>
      <c r="F92" s="16" t="s">
        <v>68</v>
      </c>
      <c r="G92" s="16" t="s">
        <v>358</v>
      </c>
      <c r="H92" s="16" t="s">
        <v>361</v>
      </c>
      <c r="I92" s="16"/>
      <c r="J92" s="16" t="s">
        <v>91</v>
      </c>
      <c r="K92" s="16" t="s">
        <v>241</v>
      </c>
      <c r="L92" s="16" t="s">
        <v>360</v>
      </c>
      <c r="M92" s="16"/>
      <c r="N92" s="16"/>
    </row>
    <row r="93" customFormat="false" ht="23.85" hidden="false" customHeight="false" outlineLevel="0" collapsed="false">
      <c r="A93" s="16" t="s">
        <v>362</v>
      </c>
      <c r="B93" s="16" t="s">
        <v>359</v>
      </c>
      <c r="C93" s="16" t="n">
        <v>5</v>
      </c>
      <c r="D93" s="16" t="s">
        <v>45</v>
      </c>
      <c r="E93" s="16" t="s">
        <v>363</v>
      </c>
      <c r="F93" s="16" t="s">
        <v>68</v>
      </c>
      <c r="G93" s="16" t="s">
        <v>358</v>
      </c>
      <c r="H93" s="16" t="s">
        <v>361</v>
      </c>
      <c r="I93" s="16" t="s">
        <v>218</v>
      </c>
      <c r="J93" s="16" t="s">
        <v>91</v>
      </c>
      <c r="K93" s="16" t="s">
        <v>241</v>
      </c>
      <c r="L93" s="16" t="s">
        <v>360</v>
      </c>
      <c r="M93" s="16" t="s">
        <v>364</v>
      </c>
      <c r="N93" s="16"/>
    </row>
    <row r="94" customFormat="false" ht="15" hidden="false" customHeight="false" outlineLevel="0" collapsed="false">
      <c r="A94" s="16" t="s">
        <v>365</v>
      </c>
      <c r="B94" s="16" t="s">
        <v>315</v>
      </c>
      <c r="C94" s="16" t="n">
        <v>3</v>
      </c>
      <c r="D94" s="16" t="s">
        <v>98</v>
      </c>
      <c r="E94" s="16" t="s">
        <v>366</v>
      </c>
      <c r="F94" s="16" t="s">
        <v>68</v>
      </c>
      <c r="G94" s="16" t="s">
        <v>365</v>
      </c>
      <c r="H94" s="16"/>
      <c r="I94" s="16"/>
      <c r="J94" s="16" t="s">
        <v>91</v>
      </c>
      <c r="K94" s="16" t="s">
        <v>366</v>
      </c>
      <c r="L94" s="16"/>
      <c r="M94" s="16"/>
      <c r="N94" s="16"/>
    </row>
    <row r="95" customFormat="false" ht="15" hidden="false" customHeight="false" outlineLevel="0" collapsed="false">
      <c r="A95" s="16" t="s">
        <v>367</v>
      </c>
      <c r="B95" s="16" t="s">
        <v>365</v>
      </c>
      <c r="C95" s="16" t="n">
        <v>4</v>
      </c>
      <c r="D95" s="16" t="s">
        <v>101</v>
      </c>
      <c r="E95" s="16" t="s">
        <v>368</v>
      </c>
      <c r="F95" s="16" t="s">
        <v>68</v>
      </c>
      <c r="G95" s="16" t="s">
        <v>365</v>
      </c>
      <c r="H95" s="16" t="s">
        <v>369</v>
      </c>
      <c r="I95" s="16"/>
      <c r="J95" s="16" t="s">
        <v>91</v>
      </c>
      <c r="K95" s="16" t="s">
        <v>366</v>
      </c>
      <c r="L95" s="16" t="s">
        <v>368</v>
      </c>
      <c r="M95" s="16"/>
      <c r="N95" s="16"/>
    </row>
    <row r="96" customFormat="false" ht="23.85" hidden="false" customHeight="false" outlineLevel="0" collapsed="false">
      <c r="A96" s="16" t="s">
        <v>370</v>
      </c>
      <c r="B96" s="16" t="s">
        <v>367</v>
      </c>
      <c r="C96" s="16" t="n">
        <v>5</v>
      </c>
      <c r="D96" s="16" t="s">
        <v>45</v>
      </c>
      <c r="E96" s="16" t="s">
        <v>371</v>
      </c>
      <c r="F96" s="16" t="s">
        <v>68</v>
      </c>
      <c r="G96" s="16" t="s">
        <v>365</v>
      </c>
      <c r="H96" s="16" t="s">
        <v>369</v>
      </c>
      <c r="I96" s="16" t="s">
        <v>372</v>
      </c>
      <c r="J96" s="16" t="s">
        <v>91</v>
      </c>
      <c r="K96" s="16" t="s">
        <v>366</v>
      </c>
      <c r="L96" s="16" t="s">
        <v>368</v>
      </c>
      <c r="M96" s="16" t="s">
        <v>373</v>
      </c>
      <c r="N96" s="16"/>
    </row>
    <row r="97" customFormat="false" ht="15" hidden="false" customHeight="false" outlineLevel="0" collapsed="false">
      <c r="A97" s="16" t="s">
        <v>374</v>
      </c>
      <c r="B97" s="16" t="s">
        <v>365</v>
      </c>
      <c r="C97" s="16" t="n">
        <v>4</v>
      </c>
      <c r="D97" s="16" t="s">
        <v>101</v>
      </c>
      <c r="E97" s="16" t="s">
        <v>375</v>
      </c>
      <c r="F97" s="16" t="s">
        <v>68</v>
      </c>
      <c r="G97" s="16" t="s">
        <v>365</v>
      </c>
      <c r="H97" s="16" t="s">
        <v>376</v>
      </c>
      <c r="I97" s="16"/>
      <c r="J97" s="16" t="s">
        <v>91</v>
      </c>
      <c r="K97" s="16" t="s">
        <v>366</v>
      </c>
      <c r="L97" s="16" t="s">
        <v>375</v>
      </c>
      <c r="M97" s="16"/>
      <c r="N97" s="16"/>
    </row>
    <row r="98" customFormat="false" ht="23.85" hidden="false" customHeight="false" outlineLevel="0" collapsed="false">
      <c r="A98" s="16" t="s">
        <v>377</v>
      </c>
      <c r="B98" s="16" t="s">
        <v>374</v>
      </c>
      <c r="C98" s="16" t="n">
        <v>5</v>
      </c>
      <c r="D98" s="16" t="s">
        <v>45</v>
      </c>
      <c r="E98" s="16" t="s">
        <v>378</v>
      </c>
      <c r="F98" s="16" t="s">
        <v>68</v>
      </c>
      <c r="G98" s="16" t="s">
        <v>365</v>
      </c>
      <c r="H98" s="16" t="s">
        <v>376</v>
      </c>
      <c r="I98" s="16" t="s">
        <v>372</v>
      </c>
      <c r="J98" s="16" t="s">
        <v>91</v>
      </c>
      <c r="K98" s="16" t="s">
        <v>366</v>
      </c>
      <c r="L98" s="16" t="s">
        <v>375</v>
      </c>
      <c r="M98" s="16" t="s">
        <v>379</v>
      </c>
      <c r="N98" s="16"/>
    </row>
    <row r="99" customFormat="false" ht="15" hidden="false" customHeight="false" outlineLevel="0" collapsed="false">
      <c r="A99" s="16" t="s">
        <v>380</v>
      </c>
      <c r="B99" s="16" t="s">
        <v>315</v>
      </c>
      <c r="C99" s="16" t="n">
        <v>3</v>
      </c>
      <c r="D99" s="16" t="s">
        <v>98</v>
      </c>
      <c r="E99" s="16" t="s">
        <v>381</v>
      </c>
      <c r="F99" s="16" t="s">
        <v>68</v>
      </c>
      <c r="G99" s="16" t="s">
        <v>380</v>
      </c>
      <c r="H99" s="16"/>
      <c r="I99" s="16"/>
      <c r="J99" s="16" t="s">
        <v>91</v>
      </c>
      <c r="K99" s="16" t="s">
        <v>382</v>
      </c>
      <c r="L99" s="16"/>
      <c r="M99" s="16"/>
      <c r="N99" s="16"/>
    </row>
    <row r="100" customFormat="false" ht="15" hidden="false" customHeight="false" outlineLevel="0" collapsed="false">
      <c r="A100" s="16" t="s">
        <v>383</v>
      </c>
      <c r="B100" s="16" t="s">
        <v>380</v>
      </c>
      <c r="C100" s="16" t="n">
        <v>4</v>
      </c>
      <c r="D100" s="16" t="s">
        <v>101</v>
      </c>
      <c r="E100" s="16" t="s">
        <v>384</v>
      </c>
      <c r="F100" s="16" t="s">
        <v>68</v>
      </c>
      <c r="G100" s="16" t="s">
        <v>380</v>
      </c>
      <c r="H100" s="16" t="s">
        <v>385</v>
      </c>
      <c r="I100" s="16"/>
      <c r="J100" s="16" t="s">
        <v>91</v>
      </c>
      <c r="K100" s="16" t="s">
        <v>382</v>
      </c>
      <c r="L100" s="16" t="s">
        <v>384</v>
      </c>
      <c r="M100" s="16"/>
      <c r="N100" s="16"/>
    </row>
    <row r="101" customFormat="false" ht="23.85" hidden="false" customHeight="false" outlineLevel="0" collapsed="false">
      <c r="A101" s="16" t="s">
        <v>386</v>
      </c>
      <c r="B101" s="16" t="s">
        <v>383</v>
      </c>
      <c r="C101" s="16" t="n">
        <v>5</v>
      </c>
      <c r="D101" s="16" t="s">
        <v>45</v>
      </c>
      <c r="E101" s="16" t="s">
        <v>387</v>
      </c>
      <c r="F101" s="16" t="s">
        <v>68</v>
      </c>
      <c r="G101" s="16" t="s">
        <v>380</v>
      </c>
      <c r="H101" s="16" t="s">
        <v>385</v>
      </c>
      <c r="I101" s="16" t="s">
        <v>274</v>
      </c>
      <c r="J101" s="16" t="s">
        <v>91</v>
      </c>
      <c r="K101" s="16" t="s">
        <v>382</v>
      </c>
      <c r="L101" s="16" t="s">
        <v>384</v>
      </c>
      <c r="M101" s="16" t="s">
        <v>388</v>
      </c>
      <c r="N101" s="16"/>
    </row>
    <row r="102" customFormat="false" ht="15" hidden="false" customHeight="false" outlineLevel="0" collapsed="false">
      <c r="A102" s="16" t="s">
        <v>389</v>
      </c>
      <c r="B102" s="16" t="s">
        <v>315</v>
      </c>
      <c r="C102" s="16" t="n">
        <v>3</v>
      </c>
      <c r="D102" s="16" t="s">
        <v>98</v>
      </c>
      <c r="E102" s="16" t="s">
        <v>390</v>
      </c>
      <c r="F102" s="16" t="s">
        <v>68</v>
      </c>
      <c r="G102" s="16" t="s">
        <v>389</v>
      </c>
      <c r="H102" s="16"/>
      <c r="I102" s="16"/>
      <c r="J102" s="16" t="s">
        <v>91</v>
      </c>
      <c r="K102" s="16" t="s">
        <v>390</v>
      </c>
      <c r="L102" s="16"/>
      <c r="M102" s="16"/>
      <c r="N102" s="16"/>
    </row>
    <row r="103" customFormat="false" ht="15" hidden="false" customHeight="false" outlineLevel="0" collapsed="false">
      <c r="A103" s="16" t="s">
        <v>391</v>
      </c>
      <c r="B103" s="16" t="s">
        <v>389</v>
      </c>
      <c r="C103" s="16" t="n">
        <v>4</v>
      </c>
      <c r="D103" s="16" t="s">
        <v>101</v>
      </c>
      <c r="E103" s="16" t="s">
        <v>392</v>
      </c>
      <c r="F103" s="16" t="s">
        <v>68</v>
      </c>
      <c r="G103" s="16" t="s">
        <v>389</v>
      </c>
      <c r="H103" s="16" t="s">
        <v>393</v>
      </c>
      <c r="I103" s="16"/>
      <c r="J103" s="16" t="s">
        <v>91</v>
      </c>
      <c r="K103" s="16" t="s">
        <v>390</v>
      </c>
      <c r="L103" s="16" t="s">
        <v>392</v>
      </c>
      <c r="M103" s="16"/>
      <c r="N103" s="16"/>
    </row>
    <row r="104" customFormat="false" ht="23.85" hidden="false" customHeight="false" outlineLevel="0" collapsed="false">
      <c r="A104" s="16" t="s">
        <v>394</v>
      </c>
      <c r="B104" s="16" t="s">
        <v>391</v>
      </c>
      <c r="C104" s="16" t="n">
        <v>5</v>
      </c>
      <c r="D104" s="16" t="s">
        <v>45</v>
      </c>
      <c r="E104" s="16" t="s">
        <v>395</v>
      </c>
      <c r="F104" s="16" t="s">
        <v>68</v>
      </c>
      <c r="G104" s="16" t="s">
        <v>389</v>
      </c>
      <c r="H104" s="16" t="s">
        <v>393</v>
      </c>
      <c r="I104" s="16" t="s">
        <v>152</v>
      </c>
      <c r="J104" s="16" t="s">
        <v>91</v>
      </c>
      <c r="K104" s="16" t="s">
        <v>390</v>
      </c>
      <c r="L104" s="16" t="s">
        <v>392</v>
      </c>
      <c r="M104" s="16" t="s">
        <v>396</v>
      </c>
      <c r="N104" s="16"/>
    </row>
    <row r="105" customFormat="false" ht="23.85" hidden="false" customHeight="false" outlineLevel="0" collapsed="false">
      <c r="A105" s="17" t="s">
        <v>397</v>
      </c>
      <c r="B105" s="17" t="s">
        <v>315</v>
      </c>
      <c r="C105" s="17" t="n">
        <v>3</v>
      </c>
      <c r="D105" s="17" t="s">
        <v>98</v>
      </c>
      <c r="E105" s="17" t="s">
        <v>398</v>
      </c>
      <c r="F105" s="17" t="s">
        <v>68</v>
      </c>
      <c r="G105" s="17" t="s">
        <v>397</v>
      </c>
      <c r="H105" s="17"/>
      <c r="I105" s="17"/>
      <c r="J105" s="17" t="s">
        <v>149</v>
      </c>
      <c r="K105" s="17" t="s">
        <v>399</v>
      </c>
      <c r="L105" s="17"/>
      <c r="M105" s="17"/>
      <c r="N105" s="17" t="s">
        <v>400</v>
      </c>
    </row>
    <row r="106" customFormat="false" ht="15" hidden="false" customHeight="false" outlineLevel="0" collapsed="false">
      <c r="A106" s="17" t="s">
        <v>401</v>
      </c>
      <c r="B106" s="17" t="s">
        <v>397</v>
      </c>
      <c r="C106" s="17" t="n">
        <v>4</v>
      </c>
      <c r="D106" s="17" t="s">
        <v>101</v>
      </c>
      <c r="E106" s="17" t="s">
        <v>402</v>
      </c>
      <c r="F106" s="17" t="s">
        <v>68</v>
      </c>
      <c r="G106" s="17" t="s">
        <v>397</v>
      </c>
      <c r="H106" s="17" t="s">
        <v>403</v>
      </c>
      <c r="I106" s="17"/>
      <c r="J106" s="17" t="s">
        <v>149</v>
      </c>
      <c r="K106" s="17" t="s">
        <v>404</v>
      </c>
      <c r="L106" s="17" t="s">
        <v>402</v>
      </c>
      <c r="M106" s="17"/>
      <c r="N106" s="17"/>
    </row>
    <row r="107" customFormat="false" ht="23.85" hidden="false" customHeight="false" outlineLevel="0" collapsed="false">
      <c r="A107" s="17" t="s">
        <v>405</v>
      </c>
      <c r="B107" s="17" t="s">
        <v>401</v>
      </c>
      <c r="C107" s="17" t="n">
        <v>5</v>
      </c>
      <c r="D107" s="17" t="s">
        <v>45</v>
      </c>
      <c r="E107" s="17" t="s">
        <v>406</v>
      </c>
      <c r="F107" s="17" t="s">
        <v>68</v>
      </c>
      <c r="G107" s="17" t="s">
        <v>397</v>
      </c>
      <c r="H107" s="17" t="s">
        <v>403</v>
      </c>
      <c r="I107" s="17" t="s">
        <v>407</v>
      </c>
      <c r="J107" s="17" t="s">
        <v>149</v>
      </c>
      <c r="K107" s="17" t="s">
        <v>404</v>
      </c>
      <c r="L107" s="17" t="s">
        <v>402</v>
      </c>
      <c r="M107" s="17"/>
      <c r="N107" s="17"/>
    </row>
    <row r="108" customFormat="false" ht="15" hidden="false" customHeight="false" outlineLevel="0" collapsed="false">
      <c r="A108" s="17" t="s">
        <v>408</v>
      </c>
      <c r="B108" s="17" t="s">
        <v>397</v>
      </c>
      <c r="C108" s="17" t="n">
        <v>4</v>
      </c>
      <c r="D108" s="17" t="s">
        <v>101</v>
      </c>
      <c r="E108" s="17" t="s">
        <v>409</v>
      </c>
      <c r="F108" s="17" t="s">
        <v>68</v>
      </c>
      <c r="G108" s="17" t="s">
        <v>397</v>
      </c>
      <c r="H108" s="17" t="s">
        <v>410</v>
      </c>
      <c r="I108" s="17"/>
      <c r="J108" s="17" t="s">
        <v>149</v>
      </c>
      <c r="K108" s="17" t="s">
        <v>398</v>
      </c>
      <c r="L108" s="17" t="s">
        <v>409</v>
      </c>
      <c r="M108" s="17"/>
      <c r="N108" s="17"/>
    </row>
    <row r="109" customFormat="false" ht="15" hidden="false" customHeight="false" outlineLevel="0" collapsed="false">
      <c r="A109" s="17" t="s">
        <v>411</v>
      </c>
      <c r="B109" s="17" t="s">
        <v>408</v>
      </c>
      <c r="C109" s="17" t="n">
        <v>5</v>
      </c>
      <c r="D109" s="17" t="s">
        <v>45</v>
      </c>
      <c r="E109" s="17" t="s">
        <v>412</v>
      </c>
      <c r="F109" s="17" t="s">
        <v>68</v>
      </c>
      <c r="G109" s="17" t="s">
        <v>397</v>
      </c>
      <c r="H109" s="17" t="s">
        <v>410</v>
      </c>
      <c r="I109" s="17" t="s">
        <v>413</v>
      </c>
      <c r="J109" s="17" t="s">
        <v>149</v>
      </c>
      <c r="K109" s="17" t="s">
        <v>398</v>
      </c>
      <c r="L109" s="17" t="s">
        <v>409</v>
      </c>
      <c r="M109" s="17"/>
      <c r="N109" s="17"/>
    </row>
    <row r="110" customFormat="false" ht="15" hidden="false" customHeight="false" outlineLevel="0" collapsed="false">
      <c r="A110" s="17" t="s">
        <v>414</v>
      </c>
      <c r="B110" s="17" t="s">
        <v>315</v>
      </c>
      <c r="C110" s="17" t="n">
        <v>3</v>
      </c>
      <c r="D110" s="17" t="s">
        <v>98</v>
      </c>
      <c r="E110" s="17" t="s">
        <v>257</v>
      </c>
      <c r="F110" s="17" t="s">
        <v>68</v>
      </c>
      <c r="G110" s="17" t="s">
        <v>414</v>
      </c>
      <c r="H110" s="17"/>
      <c r="I110" s="17"/>
      <c r="J110" s="17" t="s">
        <v>149</v>
      </c>
      <c r="K110" s="17" t="s">
        <v>257</v>
      </c>
      <c r="L110" s="17"/>
      <c r="M110" s="17"/>
      <c r="N110" s="17" t="s">
        <v>301</v>
      </c>
    </row>
    <row r="111" customFormat="false" ht="15" hidden="false" customHeight="false" outlineLevel="0" collapsed="false">
      <c r="A111" s="17" t="s">
        <v>415</v>
      </c>
      <c r="B111" s="17" t="s">
        <v>414</v>
      </c>
      <c r="C111" s="17" t="n">
        <v>4</v>
      </c>
      <c r="D111" s="17" t="s">
        <v>101</v>
      </c>
      <c r="E111" s="17" t="s">
        <v>416</v>
      </c>
      <c r="F111" s="17" t="s">
        <v>68</v>
      </c>
      <c r="G111" s="17" t="s">
        <v>414</v>
      </c>
      <c r="H111" s="17" t="s">
        <v>417</v>
      </c>
      <c r="I111" s="17"/>
      <c r="J111" s="17" t="s">
        <v>149</v>
      </c>
      <c r="K111" s="17" t="s">
        <v>257</v>
      </c>
      <c r="L111" s="17" t="s">
        <v>416</v>
      </c>
      <c r="M111" s="17"/>
      <c r="N111" s="17"/>
    </row>
    <row r="112" customFormat="false" ht="15" hidden="false" customHeight="false" outlineLevel="0" collapsed="false">
      <c r="A112" s="17" t="s">
        <v>418</v>
      </c>
      <c r="B112" s="17" t="s">
        <v>415</v>
      </c>
      <c r="C112" s="17" t="n">
        <v>5</v>
      </c>
      <c r="D112" s="17" t="s">
        <v>45</v>
      </c>
      <c r="E112" s="17" t="s">
        <v>419</v>
      </c>
      <c r="F112" s="17" t="s">
        <v>68</v>
      </c>
      <c r="G112" s="17" t="s">
        <v>414</v>
      </c>
      <c r="H112" s="17" t="s">
        <v>417</v>
      </c>
      <c r="I112" s="17" t="s">
        <v>106</v>
      </c>
      <c r="J112" s="17" t="s">
        <v>149</v>
      </c>
      <c r="K112" s="17" t="s">
        <v>257</v>
      </c>
      <c r="L112" s="17" t="s">
        <v>416</v>
      </c>
      <c r="M112" s="17"/>
      <c r="N112" s="17"/>
    </row>
    <row r="113" customFormat="false" ht="15" hidden="false" customHeight="false" outlineLevel="0" collapsed="false">
      <c r="A113" s="17" t="s">
        <v>420</v>
      </c>
      <c r="B113" s="17" t="s">
        <v>315</v>
      </c>
      <c r="C113" s="17" t="n">
        <v>3</v>
      </c>
      <c r="D113" s="17" t="s">
        <v>98</v>
      </c>
      <c r="E113" s="17" t="s">
        <v>160</v>
      </c>
      <c r="F113" s="17" t="s">
        <v>68</v>
      </c>
      <c r="G113" s="17" t="s">
        <v>420</v>
      </c>
      <c r="H113" s="17"/>
      <c r="I113" s="17"/>
      <c r="J113" s="17" t="s">
        <v>149</v>
      </c>
      <c r="K113" s="17" t="s">
        <v>160</v>
      </c>
      <c r="L113" s="17"/>
      <c r="M113" s="17"/>
      <c r="N113" s="17" t="s">
        <v>301</v>
      </c>
    </row>
    <row r="114" customFormat="false" ht="15" hidden="false" customHeight="false" outlineLevel="0" collapsed="false">
      <c r="A114" s="17" t="s">
        <v>421</v>
      </c>
      <c r="B114" s="17" t="s">
        <v>420</v>
      </c>
      <c r="C114" s="17" t="n">
        <v>4</v>
      </c>
      <c r="D114" s="17" t="s">
        <v>101</v>
      </c>
      <c r="E114" s="17" t="s">
        <v>422</v>
      </c>
      <c r="F114" s="17" t="s">
        <v>68</v>
      </c>
      <c r="G114" s="17" t="s">
        <v>420</v>
      </c>
      <c r="H114" s="17" t="s">
        <v>423</v>
      </c>
      <c r="I114" s="17"/>
      <c r="J114" s="17" t="s">
        <v>149</v>
      </c>
      <c r="K114" s="17" t="s">
        <v>160</v>
      </c>
      <c r="L114" s="17" t="s">
        <v>422</v>
      </c>
      <c r="M114" s="17"/>
      <c r="N114" s="17"/>
    </row>
    <row r="115" customFormat="false" ht="15" hidden="false" customHeight="false" outlineLevel="0" collapsed="false">
      <c r="A115" s="17" t="s">
        <v>424</v>
      </c>
      <c r="B115" s="17" t="s">
        <v>421</v>
      </c>
      <c r="C115" s="17" t="n">
        <v>5</v>
      </c>
      <c r="D115" s="17" t="s">
        <v>45</v>
      </c>
      <c r="E115" s="17" t="s">
        <v>425</v>
      </c>
      <c r="F115" s="17" t="s">
        <v>68</v>
      </c>
      <c r="G115" s="17" t="s">
        <v>420</v>
      </c>
      <c r="H115" s="17" t="s">
        <v>423</v>
      </c>
      <c r="I115" s="17" t="s">
        <v>131</v>
      </c>
      <c r="J115" s="17" t="s">
        <v>149</v>
      </c>
      <c r="K115" s="17" t="s">
        <v>160</v>
      </c>
      <c r="L115" s="17" t="s">
        <v>422</v>
      </c>
      <c r="M115" s="17"/>
      <c r="N115" s="17"/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38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6" min="14" style="0" width="50"/>
  </cols>
  <sheetData>
    <row r="1" customFormat="false" ht="35.05" hidden="false" customHeight="false" outlineLevel="0" collapsed="false">
      <c r="A1" s="13" t="s">
        <v>426</v>
      </c>
      <c r="B1" s="13" t="s">
        <v>427</v>
      </c>
      <c r="C1" s="13" t="s">
        <v>57</v>
      </c>
      <c r="D1" s="13" t="s">
        <v>428</v>
      </c>
      <c r="E1" s="13" t="s">
        <v>83</v>
      </c>
      <c r="F1" s="13" t="s">
        <v>429</v>
      </c>
      <c r="G1" s="13" t="s">
        <v>430</v>
      </c>
      <c r="H1" s="13" t="s">
        <v>84</v>
      </c>
      <c r="I1" s="13" t="s">
        <v>431</v>
      </c>
      <c r="J1" s="13" t="s">
        <v>85</v>
      </c>
      <c r="K1" s="13" t="s">
        <v>86</v>
      </c>
      <c r="L1" s="13" t="s">
        <v>87</v>
      </c>
      <c r="M1" s="13" t="s">
        <v>432</v>
      </c>
      <c r="N1" s="13" t="s">
        <v>433</v>
      </c>
      <c r="O1" s="13" t="s">
        <v>434</v>
      </c>
      <c r="P1" s="13" t="s">
        <v>435</v>
      </c>
    </row>
    <row r="2" customFormat="false" ht="35.05" hidden="false" customHeight="false" outlineLevel="0" collapsed="false">
      <c r="A2" s="16" t="s">
        <v>100</v>
      </c>
      <c r="B2" s="16" t="s">
        <v>104</v>
      </c>
      <c r="C2" s="16" t="s">
        <v>64</v>
      </c>
      <c r="D2" s="16" t="s">
        <v>95</v>
      </c>
      <c r="E2" s="16" t="s">
        <v>97</v>
      </c>
      <c r="F2" s="16" t="s">
        <v>99</v>
      </c>
      <c r="G2" s="16" t="s">
        <v>102</v>
      </c>
      <c r="H2" s="16" t="s">
        <v>103</v>
      </c>
      <c r="I2" s="16" t="s">
        <v>105</v>
      </c>
      <c r="J2" s="16" t="s">
        <v>106</v>
      </c>
      <c r="K2" s="16" t="s">
        <v>91</v>
      </c>
      <c r="L2" s="16" t="s">
        <v>99</v>
      </c>
      <c r="M2" s="18" t="n">
        <f aca="false">COUNTIF(Case_Link!$E$2:$E$51,H2)</f>
        <v>2</v>
      </c>
      <c r="N2" s="16" t="s">
        <v>436</v>
      </c>
      <c r="O2" s="16" t="s">
        <v>437</v>
      </c>
      <c r="P2" s="16" t="s">
        <v>438</v>
      </c>
    </row>
    <row r="3" customFormat="false" ht="35.05" hidden="false" customHeight="false" outlineLevel="0" collapsed="false">
      <c r="A3" s="16" t="s">
        <v>108</v>
      </c>
      <c r="B3" s="16" t="s">
        <v>111</v>
      </c>
      <c r="C3" s="16" t="s">
        <v>64</v>
      </c>
      <c r="D3" s="16" t="s">
        <v>95</v>
      </c>
      <c r="E3" s="16" t="s">
        <v>97</v>
      </c>
      <c r="F3" s="16" t="s">
        <v>99</v>
      </c>
      <c r="G3" s="16" t="s">
        <v>109</v>
      </c>
      <c r="H3" s="16" t="s">
        <v>110</v>
      </c>
      <c r="I3" s="16" t="s">
        <v>112</v>
      </c>
      <c r="J3" s="16" t="s">
        <v>113</v>
      </c>
      <c r="K3" s="16" t="s">
        <v>91</v>
      </c>
      <c r="L3" s="16" t="s">
        <v>99</v>
      </c>
      <c r="M3" s="18" t="n">
        <f aca="false">COUNTIF(Case_Link!$E$2:$E$51,H3)</f>
        <v>1</v>
      </c>
      <c r="N3" s="16" t="s">
        <v>439</v>
      </c>
      <c r="O3" s="16" t="s">
        <v>440</v>
      </c>
      <c r="P3" s="16" t="s">
        <v>441</v>
      </c>
    </row>
    <row r="4" customFormat="false" ht="35.05" hidden="false" customHeight="false" outlineLevel="0" collapsed="false">
      <c r="A4" s="16" t="s">
        <v>117</v>
      </c>
      <c r="B4" s="16" t="s">
        <v>120</v>
      </c>
      <c r="C4" s="16" t="s">
        <v>64</v>
      </c>
      <c r="D4" s="16" t="s">
        <v>95</v>
      </c>
      <c r="E4" s="16" t="s">
        <v>115</v>
      </c>
      <c r="F4" s="16" t="s">
        <v>116</v>
      </c>
      <c r="G4" s="16" t="s">
        <v>118</v>
      </c>
      <c r="H4" s="16" t="s">
        <v>119</v>
      </c>
      <c r="I4" s="16" t="s">
        <v>121</v>
      </c>
      <c r="J4" s="16" t="s">
        <v>122</v>
      </c>
      <c r="K4" s="16" t="s">
        <v>91</v>
      </c>
      <c r="L4" s="16" t="s">
        <v>116</v>
      </c>
      <c r="M4" s="18" t="n">
        <f aca="false">COUNTIF(Case_Link!$E$2:$E$51,H4)</f>
        <v>2</v>
      </c>
      <c r="N4" s="16" t="s">
        <v>442</v>
      </c>
      <c r="O4" s="16" t="s">
        <v>443</v>
      </c>
      <c r="P4" s="16" t="s">
        <v>444</v>
      </c>
    </row>
    <row r="5" customFormat="false" ht="35.05" hidden="false" customHeight="false" outlineLevel="0" collapsed="false">
      <c r="A5" s="16" t="s">
        <v>126</v>
      </c>
      <c r="B5" s="16" t="s">
        <v>129</v>
      </c>
      <c r="C5" s="16" t="s">
        <v>64</v>
      </c>
      <c r="D5" s="16" t="s">
        <v>95</v>
      </c>
      <c r="E5" s="16" t="s">
        <v>124</v>
      </c>
      <c r="F5" s="16" t="s">
        <v>125</v>
      </c>
      <c r="G5" s="16" t="s">
        <v>127</v>
      </c>
      <c r="H5" s="16" t="s">
        <v>128</v>
      </c>
      <c r="I5" s="16" t="s">
        <v>130</v>
      </c>
      <c r="J5" s="16" t="s">
        <v>131</v>
      </c>
      <c r="K5" s="16" t="s">
        <v>91</v>
      </c>
      <c r="L5" s="16" t="s">
        <v>125</v>
      </c>
      <c r="M5" s="18" t="n">
        <f aca="false">COUNTIF(Case_Link!$E$2:$E$51,H5)</f>
        <v>1</v>
      </c>
      <c r="N5" s="16" t="s">
        <v>445</v>
      </c>
      <c r="O5" s="16" t="s">
        <v>446</v>
      </c>
      <c r="P5" s="16" t="s">
        <v>447</v>
      </c>
    </row>
    <row r="6" customFormat="false" ht="35.05" hidden="false" customHeight="false" outlineLevel="0" collapsed="false">
      <c r="A6" s="16" t="s">
        <v>133</v>
      </c>
      <c r="B6" s="16" t="s">
        <v>136</v>
      </c>
      <c r="C6" s="16" t="s">
        <v>64</v>
      </c>
      <c r="D6" s="16" t="s">
        <v>95</v>
      </c>
      <c r="E6" s="16" t="s">
        <v>124</v>
      </c>
      <c r="F6" s="16" t="s">
        <v>125</v>
      </c>
      <c r="G6" s="16" t="s">
        <v>134</v>
      </c>
      <c r="H6" s="16" t="s">
        <v>135</v>
      </c>
      <c r="I6" s="16" t="s">
        <v>137</v>
      </c>
      <c r="J6" s="16" t="s">
        <v>138</v>
      </c>
      <c r="K6" s="16" t="s">
        <v>91</v>
      </c>
      <c r="L6" s="16" t="s">
        <v>125</v>
      </c>
      <c r="M6" s="18" t="n">
        <f aca="false">COUNTIF(Case_Link!$E$2:$E$51,H6)</f>
        <v>1</v>
      </c>
      <c r="N6" s="16" t="s">
        <v>448</v>
      </c>
      <c r="O6" s="16" t="s">
        <v>449</v>
      </c>
      <c r="P6" s="16" t="s">
        <v>450</v>
      </c>
    </row>
    <row r="7" customFormat="false" ht="35.05" hidden="false" customHeight="false" outlineLevel="0" collapsed="false">
      <c r="A7" s="16" t="s">
        <v>140</v>
      </c>
      <c r="B7" s="16" t="s">
        <v>143</v>
      </c>
      <c r="C7" s="16" t="s">
        <v>64</v>
      </c>
      <c r="D7" s="16" t="s">
        <v>95</v>
      </c>
      <c r="E7" s="16" t="s">
        <v>124</v>
      </c>
      <c r="F7" s="16" t="s">
        <v>125</v>
      </c>
      <c r="G7" s="16" t="s">
        <v>141</v>
      </c>
      <c r="H7" s="16" t="s">
        <v>142</v>
      </c>
      <c r="I7" s="16" t="s">
        <v>144</v>
      </c>
      <c r="J7" s="16" t="s">
        <v>106</v>
      </c>
      <c r="K7" s="16" t="s">
        <v>91</v>
      </c>
      <c r="L7" s="16" t="s">
        <v>125</v>
      </c>
      <c r="M7" s="18" t="n">
        <f aca="false">COUNTIF(Case_Link!$E$2:$E$51,H7)</f>
        <v>1</v>
      </c>
      <c r="N7" s="16" t="s">
        <v>451</v>
      </c>
      <c r="O7" s="16" t="s">
        <v>452</v>
      </c>
      <c r="P7" s="16" t="s">
        <v>453</v>
      </c>
    </row>
    <row r="8" customFormat="false" ht="23.85" hidden="false" customHeight="false" outlineLevel="0" collapsed="false">
      <c r="A8" s="17" t="s">
        <v>146</v>
      </c>
      <c r="B8" s="17" t="s">
        <v>150</v>
      </c>
      <c r="C8" s="17" t="s">
        <v>64</v>
      </c>
      <c r="D8" s="17" t="s">
        <v>95</v>
      </c>
      <c r="E8" s="17" t="s">
        <v>124</v>
      </c>
      <c r="F8" s="17" t="s">
        <v>125</v>
      </c>
      <c r="G8" s="17" t="s">
        <v>147</v>
      </c>
      <c r="H8" s="17" t="s">
        <v>148</v>
      </c>
      <c r="I8" s="17" t="s">
        <v>151</v>
      </c>
      <c r="J8" s="17" t="s">
        <v>152</v>
      </c>
      <c r="K8" s="17" t="s">
        <v>149</v>
      </c>
      <c r="L8" s="17" t="s">
        <v>125</v>
      </c>
      <c r="M8" s="19" t="n">
        <f aca="false">COUNTIF(Case_Link!$E$2:$E$51,H8)</f>
        <v>1</v>
      </c>
      <c r="N8" s="17"/>
      <c r="O8" s="17" t="s">
        <v>454</v>
      </c>
      <c r="P8" s="17"/>
    </row>
    <row r="9" customFormat="false" ht="23.85" hidden="false" customHeight="false" outlineLevel="0" collapsed="false">
      <c r="A9" s="17" t="s">
        <v>153</v>
      </c>
      <c r="B9" s="17" t="s">
        <v>156</v>
      </c>
      <c r="C9" s="17" t="s">
        <v>64</v>
      </c>
      <c r="D9" s="17" t="s">
        <v>95</v>
      </c>
      <c r="E9" s="17" t="s">
        <v>124</v>
      </c>
      <c r="F9" s="17" t="s">
        <v>125</v>
      </c>
      <c r="G9" s="17" t="s">
        <v>154</v>
      </c>
      <c r="H9" s="17" t="s">
        <v>155</v>
      </c>
      <c r="I9" s="17" t="s">
        <v>157</v>
      </c>
      <c r="J9" s="17" t="s">
        <v>158</v>
      </c>
      <c r="K9" s="17" t="s">
        <v>149</v>
      </c>
      <c r="L9" s="17" t="s">
        <v>125</v>
      </c>
      <c r="M9" s="19" t="n">
        <f aca="false">COUNTIF(Case_Link!$E$2:$E$51,H9)</f>
        <v>1</v>
      </c>
      <c r="N9" s="17"/>
      <c r="O9" s="17" t="s">
        <v>455</v>
      </c>
      <c r="P9" s="17"/>
    </row>
    <row r="10" customFormat="false" ht="35.05" hidden="false" customHeight="false" outlineLevel="0" collapsed="false">
      <c r="A10" s="16" t="s">
        <v>161</v>
      </c>
      <c r="B10" s="16" t="s">
        <v>164</v>
      </c>
      <c r="C10" s="16" t="s">
        <v>64</v>
      </c>
      <c r="D10" s="16" t="s">
        <v>95</v>
      </c>
      <c r="E10" s="16" t="s">
        <v>159</v>
      </c>
      <c r="F10" s="16" t="s">
        <v>160</v>
      </c>
      <c r="G10" s="16" t="s">
        <v>162</v>
      </c>
      <c r="H10" s="16" t="s">
        <v>163</v>
      </c>
      <c r="I10" s="16" t="s">
        <v>165</v>
      </c>
      <c r="J10" s="16" t="s">
        <v>106</v>
      </c>
      <c r="K10" s="16" t="s">
        <v>91</v>
      </c>
      <c r="L10" s="16" t="s">
        <v>160</v>
      </c>
      <c r="M10" s="18" t="n">
        <f aca="false">COUNTIF(Case_Link!$E$2:$E$51,H10)</f>
        <v>2</v>
      </c>
      <c r="N10" s="16" t="s">
        <v>456</v>
      </c>
      <c r="O10" s="16" t="s">
        <v>457</v>
      </c>
      <c r="P10" s="16" t="s">
        <v>458</v>
      </c>
    </row>
    <row r="11" customFormat="false" ht="23.85" hidden="false" customHeight="false" outlineLevel="0" collapsed="false">
      <c r="A11" s="17" t="s">
        <v>167</v>
      </c>
      <c r="B11" s="17" t="s">
        <v>170</v>
      </c>
      <c r="C11" s="17" t="s">
        <v>64</v>
      </c>
      <c r="D11" s="17" t="s">
        <v>95</v>
      </c>
      <c r="E11" s="17" t="s">
        <v>159</v>
      </c>
      <c r="F11" s="17" t="s">
        <v>160</v>
      </c>
      <c r="G11" s="17" t="s">
        <v>168</v>
      </c>
      <c r="H11" s="17" t="s">
        <v>169</v>
      </c>
      <c r="I11" s="17" t="s">
        <v>171</v>
      </c>
      <c r="J11" s="17" t="s">
        <v>172</v>
      </c>
      <c r="K11" s="17" t="s">
        <v>149</v>
      </c>
      <c r="L11" s="17" t="s">
        <v>160</v>
      </c>
      <c r="M11" s="19" t="n">
        <f aca="false">COUNTIF(Case_Link!$E$2:$E$51,H11)</f>
        <v>1</v>
      </c>
      <c r="N11" s="17"/>
      <c r="O11" s="17" t="s">
        <v>459</v>
      </c>
      <c r="P11" s="17"/>
    </row>
    <row r="12" customFormat="false" ht="23.85" hidden="false" customHeight="false" outlineLevel="0" collapsed="false">
      <c r="A12" s="16" t="s">
        <v>177</v>
      </c>
      <c r="B12" s="16" t="s">
        <v>181</v>
      </c>
      <c r="C12" s="16" t="s">
        <v>64</v>
      </c>
      <c r="D12" s="16" t="s">
        <v>95</v>
      </c>
      <c r="E12" s="16" t="s">
        <v>173</v>
      </c>
      <c r="F12" s="16" t="s">
        <v>174</v>
      </c>
      <c r="G12" s="16" t="s">
        <v>178</v>
      </c>
      <c r="H12" s="16" t="s">
        <v>179</v>
      </c>
      <c r="I12" s="16" t="s">
        <v>182</v>
      </c>
      <c r="J12" s="16" t="s">
        <v>152</v>
      </c>
      <c r="K12" s="16" t="s">
        <v>91</v>
      </c>
      <c r="L12" s="16" t="s">
        <v>180</v>
      </c>
      <c r="M12" s="18" t="n">
        <f aca="false">COUNTIF(Case_Link!$E$2:$E$51,H12)</f>
        <v>1</v>
      </c>
      <c r="N12" s="16" t="s">
        <v>460</v>
      </c>
      <c r="O12" s="16" t="s">
        <v>461</v>
      </c>
      <c r="P12" s="16" t="s">
        <v>462</v>
      </c>
    </row>
    <row r="13" customFormat="false" ht="35.05" hidden="false" customHeight="false" outlineLevel="0" collapsed="false">
      <c r="A13" s="16" t="s">
        <v>184</v>
      </c>
      <c r="B13" s="16" t="s">
        <v>188</v>
      </c>
      <c r="C13" s="16" t="s">
        <v>64</v>
      </c>
      <c r="D13" s="16" t="s">
        <v>95</v>
      </c>
      <c r="E13" s="16" t="s">
        <v>173</v>
      </c>
      <c r="F13" s="16" t="s">
        <v>174</v>
      </c>
      <c r="G13" s="16" t="s">
        <v>185</v>
      </c>
      <c r="H13" s="16" t="s">
        <v>186</v>
      </c>
      <c r="I13" s="16" t="s">
        <v>189</v>
      </c>
      <c r="J13" s="16" t="s">
        <v>138</v>
      </c>
      <c r="K13" s="16" t="s">
        <v>91</v>
      </c>
      <c r="L13" s="16" t="s">
        <v>187</v>
      </c>
      <c r="M13" s="18" t="n">
        <f aca="false">COUNTIF(Case_Link!$E$2:$E$51,H13)</f>
        <v>2</v>
      </c>
      <c r="N13" s="16" t="s">
        <v>463</v>
      </c>
      <c r="O13" s="16" t="s">
        <v>464</v>
      </c>
      <c r="P13" s="16" t="s">
        <v>465</v>
      </c>
    </row>
    <row r="14" customFormat="false" ht="35.05" hidden="false" customHeight="false" outlineLevel="0" collapsed="false">
      <c r="A14" s="16" t="s">
        <v>193</v>
      </c>
      <c r="B14" s="16" t="s">
        <v>196</v>
      </c>
      <c r="C14" s="16" t="s">
        <v>64</v>
      </c>
      <c r="D14" s="16" t="s">
        <v>95</v>
      </c>
      <c r="E14" s="16" t="s">
        <v>191</v>
      </c>
      <c r="F14" s="16" t="s">
        <v>192</v>
      </c>
      <c r="G14" s="16" t="s">
        <v>194</v>
      </c>
      <c r="H14" s="16" t="s">
        <v>195</v>
      </c>
      <c r="I14" s="16" t="s">
        <v>197</v>
      </c>
      <c r="J14" s="16" t="s">
        <v>198</v>
      </c>
      <c r="K14" s="16" t="s">
        <v>91</v>
      </c>
      <c r="L14" s="16" t="s">
        <v>192</v>
      </c>
      <c r="M14" s="18" t="n">
        <f aca="false">COUNTIF(Case_Link!$E$2:$E$51,H14)</f>
        <v>1</v>
      </c>
      <c r="N14" s="16" t="s">
        <v>466</v>
      </c>
      <c r="O14" s="16" t="s">
        <v>467</v>
      </c>
      <c r="P14" s="16" t="s">
        <v>468</v>
      </c>
    </row>
    <row r="15" customFormat="false" ht="35.05" hidden="false" customHeight="false" outlineLevel="0" collapsed="false">
      <c r="A15" s="16" t="s">
        <v>205</v>
      </c>
      <c r="B15" s="16" t="s">
        <v>208</v>
      </c>
      <c r="C15" s="16" t="s">
        <v>66</v>
      </c>
      <c r="D15" s="16" t="s">
        <v>201</v>
      </c>
      <c r="E15" s="16" t="s">
        <v>202</v>
      </c>
      <c r="F15" s="16" t="s">
        <v>203</v>
      </c>
      <c r="G15" s="16" t="s">
        <v>206</v>
      </c>
      <c r="H15" s="16" t="s">
        <v>207</v>
      </c>
      <c r="I15" s="16" t="s">
        <v>209</v>
      </c>
      <c r="J15" s="16" t="s">
        <v>210</v>
      </c>
      <c r="K15" s="16" t="s">
        <v>91</v>
      </c>
      <c r="L15" s="16" t="s">
        <v>204</v>
      </c>
      <c r="M15" s="18" t="n">
        <f aca="false">COUNTIF(Case_Link!$E$2:$E$51,H15)</f>
        <v>2</v>
      </c>
      <c r="N15" s="16" t="s">
        <v>469</v>
      </c>
      <c r="O15" s="16" t="s">
        <v>470</v>
      </c>
      <c r="P15" s="16" t="s">
        <v>471</v>
      </c>
    </row>
    <row r="16" customFormat="false" ht="35.05" hidden="false" customHeight="false" outlineLevel="0" collapsed="false">
      <c r="A16" s="16" t="s">
        <v>213</v>
      </c>
      <c r="B16" s="16" t="s">
        <v>216</v>
      </c>
      <c r="C16" s="16" t="s">
        <v>66</v>
      </c>
      <c r="D16" s="16" t="s">
        <v>201</v>
      </c>
      <c r="E16" s="16" t="s">
        <v>212</v>
      </c>
      <c r="F16" s="16" t="s">
        <v>99</v>
      </c>
      <c r="G16" s="16" t="s">
        <v>214</v>
      </c>
      <c r="H16" s="16" t="s">
        <v>215</v>
      </c>
      <c r="I16" s="16" t="s">
        <v>217</v>
      </c>
      <c r="J16" s="16" t="s">
        <v>218</v>
      </c>
      <c r="K16" s="16" t="s">
        <v>91</v>
      </c>
      <c r="L16" s="16" t="s">
        <v>99</v>
      </c>
      <c r="M16" s="18" t="n">
        <f aca="false">COUNTIF(Case_Link!$E$2:$E$51,H16)</f>
        <v>2</v>
      </c>
      <c r="N16" s="16" t="s">
        <v>472</v>
      </c>
      <c r="O16" s="16" t="s">
        <v>473</v>
      </c>
      <c r="P16" s="16" t="s">
        <v>474</v>
      </c>
    </row>
    <row r="17" customFormat="false" ht="23.85" hidden="false" customHeight="false" outlineLevel="0" collapsed="false">
      <c r="A17" s="16" t="s">
        <v>220</v>
      </c>
      <c r="B17" s="16" t="s">
        <v>223</v>
      </c>
      <c r="C17" s="16" t="s">
        <v>66</v>
      </c>
      <c r="D17" s="16" t="s">
        <v>201</v>
      </c>
      <c r="E17" s="16" t="s">
        <v>212</v>
      </c>
      <c r="F17" s="16" t="s">
        <v>99</v>
      </c>
      <c r="G17" s="16" t="s">
        <v>221</v>
      </c>
      <c r="H17" s="16" t="s">
        <v>222</v>
      </c>
      <c r="I17" s="16" t="s">
        <v>224</v>
      </c>
      <c r="J17" s="16" t="s">
        <v>106</v>
      </c>
      <c r="K17" s="16" t="s">
        <v>91</v>
      </c>
      <c r="L17" s="16" t="s">
        <v>99</v>
      </c>
      <c r="M17" s="18" t="n">
        <f aca="false">COUNTIF(Case_Link!$E$2:$E$51,H17)</f>
        <v>1</v>
      </c>
      <c r="N17" s="16" t="s">
        <v>475</v>
      </c>
      <c r="O17" s="16" t="s">
        <v>476</v>
      </c>
      <c r="P17" s="16" t="s">
        <v>477</v>
      </c>
    </row>
    <row r="18" customFormat="false" ht="35.05" hidden="false" customHeight="false" outlineLevel="0" collapsed="false">
      <c r="A18" s="16" t="s">
        <v>228</v>
      </c>
      <c r="B18" s="16" t="s">
        <v>231</v>
      </c>
      <c r="C18" s="16" t="s">
        <v>66</v>
      </c>
      <c r="D18" s="16" t="s">
        <v>201</v>
      </c>
      <c r="E18" s="16" t="s">
        <v>226</v>
      </c>
      <c r="F18" s="16" t="s">
        <v>227</v>
      </c>
      <c r="G18" s="16" t="s">
        <v>229</v>
      </c>
      <c r="H18" s="16" t="s">
        <v>230</v>
      </c>
      <c r="I18" s="16" t="s">
        <v>232</v>
      </c>
      <c r="J18" s="16" t="s">
        <v>106</v>
      </c>
      <c r="K18" s="16" t="s">
        <v>91</v>
      </c>
      <c r="L18" s="16" t="s">
        <v>227</v>
      </c>
      <c r="M18" s="18" t="n">
        <f aca="false">COUNTIF(Case_Link!$E$2:$E$51,H18)</f>
        <v>1</v>
      </c>
      <c r="N18" s="16" t="s">
        <v>478</v>
      </c>
      <c r="O18" s="16" t="s">
        <v>479</v>
      </c>
      <c r="P18" s="16" t="s">
        <v>480</v>
      </c>
    </row>
    <row r="19" customFormat="false" ht="23.85" hidden="false" customHeight="false" outlineLevel="0" collapsed="false">
      <c r="A19" s="16" t="s">
        <v>234</v>
      </c>
      <c r="B19" s="16" t="s">
        <v>237</v>
      </c>
      <c r="C19" s="16" t="s">
        <v>66</v>
      </c>
      <c r="D19" s="16" t="s">
        <v>201</v>
      </c>
      <c r="E19" s="16" t="s">
        <v>226</v>
      </c>
      <c r="F19" s="16" t="s">
        <v>227</v>
      </c>
      <c r="G19" s="16" t="s">
        <v>235</v>
      </c>
      <c r="H19" s="16" t="s">
        <v>236</v>
      </c>
      <c r="I19" s="16" t="s">
        <v>238</v>
      </c>
      <c r="J19" s="16" t="s">
        <v>106</v>
      </c>
      <c r="K19" s="16" t="s">
        <v>91</v>
      </c>
      <c r="L19" s="16" t="s">
        <v>227</v>
      </c>
      <c r="M19" s="18" t="n">
        <f aca="false">COUNTIF(Case_Link!$E$2:$E$51,H19)</f>
        <v>1</v>
      </c>
      <c r="N19" s="16" t="s">
        <v>481</v>
      </c>
      <c r="O19" s="16" t="s">
        <v>482</v>
      </c>
      <c r="P19" s="16" t="s">
        <v>483</v>
      </c>
    </row>
    <row r="20" customFormat="false" ht="23.85" hidden="false" customHeight="false" outlineLevel="0" collapsed="false">
      <c r="A20" s="16" t="s">
        <v>242</v>
      </c>
      <c r="B20" s="16" t="s">
        <v>245</v>
      </c>
      <c r="C20" s="16" t="s">
        <v>66</v>
      </c>
      <c r="D20" s="16" t="s">
        <v>201</v>
      </c>
      <c r="E20" s="16" t="s">
        <v>240</v>
      </c>
      <c r="F20" s="16" t="s">
        <v>241</v>
      </c>
      <c r="G20" s="16" t="s">
        <v>243</v>
      </c>
      <c r="H20" s="16" t="s">
        <v>244</v>
      </c>
      <c r="I20" s="16" t="s">
        <v>246</v>
      </c>
      <c r="J20" s="16" t="s">
        <v>218</v>
      </c>
      <c r="K20" s="16" t="s">
        <v>91</v>
      </c>
      <c r="L20" s="16" t="s">
        <v>241</v>
      </c>
      <c r="M20" s="18" t="n">
        <f aca="false">COUNTIF(Case_Link!$E$2:$E$51,H20)</f>
        <v>2</v>
      </c>
      <c r="N20" s="16" t="s">
        <v>484</v>
      </c>
      <c r="O20" s="16" t="s">
        <v>485</v>
      </c>
      <c r="P20" s="16" t="s">
        <v>486</v>
      </c>
    </row>
    <row r="21" customFormat="false" ht="23.85" hidden="false" customHeight="false" outlineLevel="0" collapsed="false">
      <c r="A21" s="16" t="s">
        <v>250</v>
      </c>
      <c r="B21" s="16" t="s">
        <v>253</v>
      </c>
      <c r="C21" s="16" t="s">
        <v>66</v>
      </c>
      <c r="D21" s="16" t="s">
        <v>201</v>
      </c>
      <c r="E21" s="16" t="s">
        <v>248</v>
      </c>
      <c r="F21" s="16" t="s">
        <v>249</v>
      </c>
      <c r="G21" s="16" t="s">
        <v>251</v>
      </c>
      <c r="H21" s="16" t="s">
        <v>252</v>
      </c>
      <c r="I21" s="16" t="s">
        <v>254</v>
      </c>
      <c r="J21" s="16" t="s">
        <v>218</v>
      </c>
      <c r="K21" s="16" t="s">
        <v>91</v>
      </c>
      <c r="L21" s="16" t="s">
        <v>249</v>
      </c>
      <c r="M21" s="18" t="n">
        <f aca="false">COUNTIF(Case_Link!$E$2:$E$51,H21)</f>
        <v>1</v>
      </c>
      <c r="N21" s="16" t="s">
        <v>487</v>
      </c>
      <c r="O21" s="16" t="s">
        <v>488</v>
      </c>
      <c r="P21" s="16" t="s">
        <v>489</v>
      </c>
    </row>
    <row r="22" customFormat="false" ht="23.85" hidden="false" customHeight="false" outlineLevel="0" collapsed="false">
      <c r="A22" s="16" t="s">
        <v>258</v>
      </c>
      <c r="B22" s="16" t="s">
        <v>261</v>
      </c>
      <c r="C22" s="16" t="s">
        <v>66</v>
      </c>
      <c r="D22" s="16" t="s">
        <v>201</v>
      </c>
      <c r="E22" s="16" t="s">
        <v>256</v>
      </c>
      <c r="F22" s="16" t="s">
        <v>257</v>
      </c>
      <c r="G22" s="16" t="s">
        <v>259</v>
      </c>
      <c r="H22" s="16" t="s">
        <v>260</v>
      </c>
      <c r="I22" s="16" t="s">
        <v>262</v>
      </c>
      <c r="J22" s="16" t="s">
        <v>106</v>
      </c>
      <c r="K22" s="16" t="s">
        <v>91</v>
      </c>
      <c r="L22" s="16" t="s">
        <v>257</v>
      </c>
      <c r="M22" s="18" t="n">
        <f aca="false">COUNTIF(Case_Link!$E$2:$E$51,H22)</f>
        <v>1</v>
      </c>
      <c r="N22" s="16" t="s">
        <v>490</v>
      </c>
      <c r="O22" s="16" t="s">
        <v>491</v>
      </c>
      <c r="P22" s="16" t="s">
        <v>492</v>
      </c>
    </row>
    <row r="23" customFormat="false" ht="35.05" hidden="false" customHeight="false" outlineLevel="0" collapsed="false">
      <c r="A23" s="16" t="s">
        <v>268</v>
      </c>
      <c r="B23" s="16" t="s">
        <v>272</v>
      </c>
      <c r="C23" s="16" t="s">
        <v>66</v>
      </c>
      <c r="D23" s="16" t="s">
        <v>201</v>
      </c>
      <c r="E23" s="16" t="s">
        <v>264</v>
      </c>
      <c r="F23" s="16" t="s">
        <v>265</v>
      </c>
      <c r="G23" s="16" t="s">
        <v>269</v>
      </c>
      <c r="H23" s="16" t="s">
        <v>270</v>
      </c>
      <c r="I23" s="16" t="s">
        <v>273</v>
      </c>
      <c r="J23" s="16" t="s">
        <v>274</v>
      </c>
      <c r="K23" s="16" t="s">
        <v>91</v>
      </c>
      <c r="L23" s="16" t="s">
        <v>271</v>
      </c>
      <c r="M23" s="18" t="n">
        <f aca="false">COUNTIF(Case_Link!$E$2:$E$51,H23)</f>
        <v>1</v>
      </c>
      <c r="N23" s="16" t="s">
        <v>493</v>
      </c>
      <c r="O23" s="16" t="s">
        <v>494</v>
      </c>
      <c r="P23" s="16" t="s">
        <v>495</v>
      </c>
    </row>
    <row r="24" customFormat="false" ht="23.85" hidden="false" customHeight="false" outlineLevel="0" collapsed="false">
      <c r="A24" s="17" t="s">
        <v>276</v>
      </c>
      <c r="B24" s="17" t="s">
        <v>280</v>
      </c>
      <c r="C24" s="17" t="s">
        <v>66</v>
      </c>
      <c r="D24" s="17" t="s">
        <v>201</v>
      </c>
      <c r="E24" s="17" t="s">
        <v>264</v>
      </c>
      <c r="F24" s="17" t="s">
        <v>265</v>
      </c>
      <c r="G24" s="17" t="s">
        <v>277</v>
      </c>
      <c r="H24" s="17" t="s">
        <v>278</v>
      </c>
      <c r="I24" s="17" t="s">
        <v>281</v>
      </c>
      <c r="J24" s="17" t="s">
        <v>282</v>
      </c>
      <c r="K24" s="17" t="s">
        <v>149</v>
      </c>
      <c r="L24" s="17" t="s">
        <v>279</v>
      </c>
      <c r="M24" s="19" t="n">
        <f aca="false">COUNTIF(Case_Link!$E$2:$E$51,H24)</f>
        <v>1</v>
      </c>
      <c r="N24" s="17"/>
      <c r="O24" s="17" t="s">
        <v>496</v>
      </c>
      <c r="P24" s="17"/>
    </row>
    <row r="25" customFormat="false" ht="23.85" hidden="false" customHeight="false" outlineLevel="0" collapsed="false">
      <c r="A25" s="17" t="s">
        <v>283</v>
      </c>
      <c r="B25" s="17" t="s">
        <v>287</v>
      </c>
      <c r="C25" s="17" t="s">
        <v>66</v>
      </c>
      <c r="D25" s="17" t="s">
        <v>201</v>
      </c>
      <c r="E25" s="17" t="s">
        <v>264</v>
      </c>
      <c r="F25" s="17" t="s">
        <v>265</v>
      </c>
      <c r="G25" s="17" t="s">
        <v>284</v>
      </c>
      <c r="H25" s="17" t="s">
        <v>285</v>
      </c>
      <c r="I25" s="17" t="s">
        <v>288</v>
      </c>
      <c r="J25" s="17" t="s">
        <v>172</v>
      </c>
      <c r="K25" s="17" t="s">
        <v>149</v>
      </c>
      <c r="L25" s="17" t="s">
        <v>286</v>
      </c>
      <c r="M25" s="19" t="n">
        <f aca="false">COUNTIF(Case_Link!$E$2:$E$51,H25)</f>
        <v>1</v>
      </c>
      <c r="N25" s="17"/>
      <c r="O25" s="17" t="s">
        <v>497</v>
      </c>
      <c r="P25" s="17"/>
    </row>
    <row r="26" customFormat="false" ht="35.05" hidden="false" customHeight="false" outlineLevel="0" collapsed="false">
      <c r="A26" s="16" t="s">
        <v>292</v>
      </c>
      <c r="B26" s="16" t="s">
        <v>295</v>
      </c>
      <c r="C26" s="16" t="s">
        <v>66</v>
      </c>
      <c r="D26" s="16" t="s">
        <v>201</v>
      </c>
      <c r="E26" s="16" t="s">
        <v>289</v>
      </c>
      <c r="F26" s="16" t="s">
        <v>290</v>
      </c>
      <c r="G26" s="16" t="s">
        <v>293</v>
      </c>
      <c r="H26" s="16" t="s">
        <v>294</v>
      </c>
      <c r="I26" s="16" t="s">
        <v>296</v>
      </c>
      <c r="J26" s="16" t="s">
        <v>106</v>
      </c>
      <c r="K26" s="16" t="s">
        <v>91</v>
      </c>
      <c r="L26" s="16" t="s">
        <v>291</v>
      </c>
      <c r="M26" s="18" t="n">
        <f aca="false">COUNTIF(Case_Link!$E$2:$E$51,H26)</f>
        <v>1</v>
      </c>
      <c r="N26" s="16" t="s">
        <v>498</v>
      </c>
      <c r="O26" s="16" t="s">
        <v>499</v>
      </c>
      <c r="P26" s="16" t="s">
        <v>500</v>
      </c>
    </row>
    <row r="27" customFormat="false" ht="23.85" hidden="false" customHeight="false" outlineLevel="0" collapsed="false">
      <c r="A27" s="17" t="s">
        <v>302</v>
      </c>
      <c r="B27" s="17" t="s">
        <v>305</v>
      </c>
      <c r="C27" s="17" t="s">
        <v>66</v>
      </c>
      <c r="D27" s="17" t="s">
        <v>201</v>
      </c>
      <c r="E27" s="17" t="s">
        <v>298</v>
      </c>
      <c r="F27" s="17" t="s">
        <v>299</v>
      </c>
      <c r="G27" s="17" t="s">
        <v>303</v>
      </c>
      <c r="H27" s="17" t="s">
        <v>304</v>
      </c>
      <c r="I27" s="17" t="s">
        <v>306</v>
      </c>
      <c r="J27" s="17" t="s">
        <v>307</v>
      </c>
      <c r="K27" s="17" t="s">
        <v>149</v>
      </c>
      <c r="L27" s="17" t="s">
        <v>300</v>
      </c>
      <c r="M27" s="19" t="n">
        <f aca="false">COUNTIF(Case_Link!$E$2:$E$51,H27)</f>
        <v>1</v>
      </c>
      <c r="N27" s="17"/>
      <c r="O27" s="17" t="s">
        <v>501</v>
      </c>
      <c r="P27" s="17"/>
    </row>
    <row r="28" customFormat="false" ht="15" hidden="false" customHeight="false" outlineLevel="0" collapsed="false">
      <c r="A28" s="17" t="s">
        <v>310</v>
      </c>
      <c r="B28" s="17" t="s">
        <v>313</v>
      </c>
      <c r="C28" s="17" t="s">
        <v>66</v>
      </c>
      <c r="D28" s="17" t="s">
        <v>201</v>
      </c>
      <c r="E28" s="17" t="s">
        <v>308</v>
      </c>
      <c r="F28" s="17" t="s">
        <v>309</v>
      </c>
      <c r="G28" s="17" t="s">
        <v>311</v>
      </c>
      <c r="H28" s="17" t="s">
        <v>312</v>
      </c>
      <c r="I28" s="17" t="s">
        <v>314</v>
      </c>
      <c r="J28" s="17" t="s">
        <v>106</v>
      </c>
      <c r="K28" s="17" t="s">
        <v>149</v>
      </c>
      <c r="L28" s="17" t="s">
        <v>309</v>
      </c>
      <c r="M28" s="19" t="n">
        <f aca="false">COUNTIF(Case_Link!$E$2:$E$51,H28)</f>
        <v>1</v>
      </c>
      <c r="N28" s="17"/>
      <c r="O28" s="17" t="s">
        <v>502</v>
      </c>
      <c r="P28" s="17"/>
    </row>
    <row r="29" customFormat="false" ht="23.85" hidden="false" customHeight="false" outlineLevel="0" collapsed="false">
      <c r="A29" s="16" t="s">
        <v>319</v>
      </c>
      <c r="B29" s="16" t="s">
        <v>322</v>
      </c>
      <c r="C29" s="16" t="s">
        <v>68</v>
      </c>
      <c r="D29" s="16" t="s">
        <v>316</v>
      </c>
      <c r="E29" s="16" t="s">
        <v>317</v>
      </c>
      <c r="F29" s="16" t="s">
        <v>318</v>
      </c>
      <c r="G29" s="16" t="s">
        <v>320</v>
      </c>
      <c r="H29" s="16" t="s">
        <v>321</v>
      </c>
      <c r="I29" s="16" t="s">
        <v>323</v>
      </c>
      <c r="J29" s="16" t="s">
        <v>138</v>
      </c>
      <c r="K29" s="16" t="s">
        <v>91</v>
      </c>
      <c r="L29" s="16" t="s">
        <v>318</v>
      </c>
      <c r="M29" s="18" t="n">
        <f aca="false">COUNTIF(Case_Link!$E$2:$E$51,H29)</f>
        <v>1</v>
      </c>
      <c r="N29" s="16" t="s">
        <v>503</v>
      </c>
      <c r="O29" s="16" t="s">
        <v>504</v>
      </c>
      <c r="P29" s="16" t="s">
        <v>505</v>
      </c>
    </row>
    <row r="30" customFormat="false" ht="23.85" hidden="false" customHeight="false" outlineLevel="0" collapsed="false">
      <c r="A30" s="16" t="s">
        <v>325</v>
      </c>
      <c r="B30" s="16" t="s">
        <v>328</v>
      </c>
      <c r="C30" s="16" t="s">
        <v>68</v>
      </c>
      <c r="D30" s="16" t="s">
        <v>316</v>
      </c>
      <c r="E30" s="16" t="s">
        <v>317</v>
      </c>
      <c r="F30" s="16" t="s">
        <v>318</v>
      </c>
      <c r="G30" s="16" t="s">
        <v>326</v>
      </c>
      <c r="H30" s="16" t="s">
        <v>327</v>
      </c>
      <c r="I30" s="16" t="s">
        <v>329</v>
      </c>
      <c r="J30" s="16" t="s">
        <v>106</v>
      </c>
      <c r="K30" s="16" t="s">
        <v>91</v>
      </c>
      <c r="L30" s="16" t="s">
        <v>318</v>
      </c>
      <c r="M30" s="18" t="n">
        <f aca="false">COUNTIF(Case_Link!$E$2:$E$51,H30)</f>
        <v>1</v>
      </c>
      <c r="N30" s="16" t="s">
        <v>506</v>
      </c>
      <c r="O30" s="16" t="s">
        <v>507</v>
      </c>
      <c r="P30" s="16" t="s">
        <v>508</v>
      </c>
    </row>
    <row r="31" customFormat="false" ht="23.85" hidden="false" customHeight="false" outlineLevel="0" collapsed="false">
      <c r="A31" s="16" t="s">
        <v>335</v>
      </c>
      <c r="B31" s="16" t="s">
        <v>339</v>
      </c>
      <c r="C31" s="16" t="s">
        <v>68</v>
      </c>
      <c r="D31" s="16" t="s">
        <v>316</v>
      </c>
      <c r="E31" s="16" t="s">
        <v>331</v>
      </c>
      <c r="F31" s="16" t="s">
        <v>332</v>
      </c>
      <c r="G31" s="16" t="s">
        <v>336</v>
      </c>
      <c r="H31" s="16" t="s">
        <v>337</v>
      </c>
      <c r="I31" s="16" t="s">
        <v>340</v>
      </c>
      <c r="J31" s="16" t="s">
        <v>152</v>
      </c>
      <c r="K31" s="16" t="s">
        <v>91</v>
      </c>
      <c r="L31" s="16" t="s">
        <v>338</v>
      </c>
      <c r="M31" s="18" t="n">
        <f aca="false">COUNTIF(Case_Link!$E$2:$E$51,H31)</f>
        <v>2</v>
      </c>
      <c r="N31" s="16" t="s">
        <v>509</v>
      </c>
      <c r="O31" s="16" t="s">
        <v>510</v>
      </c>
      <c r="P31" s="16" t="s">
        <v>511</v>
      </c>
    </row>
    <row r="32" customFormat="false" ht="23.85" hidden="false" customHeight="false" outlineLevel="0" collapsed="false">
      <c r="A32" s="16" t="s">
        <v>342</v>
      </c>
      <c r="B32" s="16" t="s">
        <v>346</v>
      </c>
      <c r="C32" s="16" t="s">
        <v>68</v>
      </c>
      <c r="D32" s="16" t="s">
        <v>316</v>
      </c>
      <c r="E32" s="16" t="s">
        <v>331</v>
      </c>
      <c r="F32" s="16" t="s">
        <v>332</v>
      </c>
      <c r="G32" s="16" t="s">
        <v>343</v>
      </c>
      <c r="H32" s="16" t="s">
        <v>344</v>
      </c>
      <c r="I32" s="16" t="s">
        <v>347</v>
      </c>
      <c r="J32" s="16" t="s">
        <v>348</v>
      </c>
      <c r="K32" s="16" t="s">
        <v>91</v>
      </c>
      <c r="L32" s="16" t="s">
        <v>345</v>
      </c>
      <c r="M32" s="18" t="n">
        <f aca="false">COUNTIF(Case_Link!$E$2:$E$51,H32)</f>
        <v>1</v>
      </c>
      <c r="N32" s="16" t="s">
        <v>512</v>
      </c>
      <c r="O32" s="16" t="s">
        <v>513</v>
      </c>
      <c r="P32" s="16" t="s">
        <v>514</v>
      </c>
    </row>
    <row r="33" customFormat="false" ht="23.85" hidden="false" customHeight="false" outlineLevel="0" collapsed="false">
      <c r="A33" s="16" t="s">
        <v>352</v>
      </c>
      <c r="B33" s="16" t="s">
        <v>355</v>
      </c>
      <c r="C33" s="16" t="s">
        <v>68</v>
      </c>
      <c r="D33" s="16" t="s">
        <v>316</v>
      </c>
      <c r="E33" s="16" t="s">
        <v>350</v>
      </c>
      <c r="F33" s="16" t="s">
        <v>351</v>
      </c>
      <c r="G33" s="16" t="s">
        <v>353</v>
      </c>
      <c r="H33" s="16" t="s">
        <v>354</v>
      </c>
      <c r="I33" s="16" t="s">
        <v>356</v>
      </c>
      <c r="J33" s="16" t="s">
        <v>138</v>
      </c>
      <c r="K33" s="16" t="s">
        <v>91</v>
      </c>
      <c r="L33" s="16" t="s">
        <v>351</v>
      </c>
      <c r="M33" s="18" t="n">
        <f aca="false">COUNTIF(Case_Link!$E$2:$E$51,H33)</f>
        <v>1</v>
      </c>
      <c r="N33" s="16" t="s">
        <v>515</v>
      </c>
      <c r="O33" s="16" t="s">
        <v>516</v>
      </c>
      <c r="P33" s="16" t="s">
        <v>517</v>
      </c>
    </row>
    <row r="34" customFormat="false" ht="23.85" hidden="false" customHeight="false" outlineLevel="0" collapsed="false">
      <c r="A34" s="16" t="s">
        <v>359</v>
      </c>
      <c r="B34" s="16" t="s">
        <v>362</v>
      </c>
      <c r="C34" s="16" t="s">
        <v>68</v>
      </c>
      <c r="D34" s="16" t="s">
        <v>316</v>
      </c>
      <c r="E34" s="16" t="s">
        <v>358</v>
      </c>
      <c r="F34" s="16" t="s">
        <v>241</v>
      </c>
      <c r="G34" s="16" t="s">
        <v>360</v>
      </c>
      <c r="H34" s="16" t="s">
        <v>361</v>
      </c>
      <c r="I34" s="16" t="s">
        <v>363</v>
      </c>
      <c r="J34" s="16" t="s">
        <v>218</v>
      </c>
      <c r="K34" s="16" t="s">
        <v>91</v>
      </c>
      <c r="L34" s="16" t="s">
        <v>241</v>
      </c>
      <c r="M34" s="18" t="n">
        <f aca="false">COUNTIF(Case_Link!$E$2:$E$51,H34)</f>
        <v>2</v>
      </c>
      <c r="N34" s="16" t="s">
        <v>518</v>
      </c>
      <c r="O34" s="16" t="s">
        <v>519</v>
      </c>
      <c r="P34" s="16" t="s">
        <v>520</v>
      </c>
    </row>
    <row r="35" customFormat="false" ht="35.05" hidden="false" customHeight="false" outlineLevel="0" collapsed="false">
      <c r="A35" s="16" t="s">
        <v>367</v>
      </c>
      <c r="B35" s="16" t="s">
        <v>370</v>
      </c>
      <c r="C35" s="16" t="s">
        <v>68</v>
      </c>
      <c r="D35" s="16" t="s">
        <v>316</v>
      </c>
      <c r="E35" s="16" t="s">
        <v>365</v>
      </c>
      <c r="F35" s="16" t="s">
        <v>366</v>
      </c>
      <c r="G35" s="16" t="s">
        <v>368</v>
      </c>
      <c r="H35" s="16" t="s">
        <v>369</v>
      </c>
      <c r="I35" s="16" t="s">
        <v>371</v>
      </c>
      <c r="J35" s="16" t="s">
        <v>372</v>
      </c>
      <c r="K35" s="16" t="s">
        <v>91</v>
      </c>
      <c r="L35" s="16" t="s">
        <v>366</v>
      </c>
      <c r="M35" s="18" t="n">
        <f aca="false">COUNTIF(Case_Link!$E$2:$E$51,H35)</f>
        <v>1</v>
      </c>
      <c r="N35" s="16" t="s">
        <v>521</v>
      </c>
      <c r="O35" s="16" t="s">
        <v>522</v>
      </c>
      <c r="P35" s="16" t="s">
        <v>523</v>
      </c>
    </row>
    <row r="36" customFormat="false" ht="35.05" hidden="false" customHeight="false" outlineLevel="0" collapsed="false">
      <c r="A36" s="16" t="s">
        <v>374</v>
      </c>
      <c r="B36" s="16" t="s">
        <v>377</v>
      </c>
      <c r="C36" s="16" t="s">
        <v>68</v>
      </c>
      <c r="D36" s="16" t="s">
        <v>316</v>
      </c>
      <c r="E36" s="16" t="s">
        <v>365</v>
      </c>
      <c r="F36" s="16" t="s">
        <v>366</v>
      </c>
      <c r="G36" s="16" t="s">
        <v>375</v>
      </c>
      <c r="H36" s="16" t="s">
        <v>376</v>
      </c>
      <c r="I36" s="16" t="s">
        <v>378</v>
      </c>
      <c r="J36" s="16" t="s">
        <v>372</v>
      </c>
      <c r="K36" s="16" t="s">
        <v>91</v>
      </c>
      <c r="L36" s="16" t="s">
        <v>366</v>
      </c>
      <c r="M36" s="18" t="n">
        <f aca="false">COUNTIF(Case_Link!$E$2:$E$51,H36)</f>
        <v>1</v>
      </c>
      <c r="N36" s="16" t="s">
        <v>524</v>
      </c>
      <c r="O36" s="16" t="s">
        <v>525</v>
      </c>
      <c r="P36" s="16" t="s">
        <v>526</v>
      </c>
    </row>
    <row r="37" customFormat="false" ht="35.05" hidden="false" customHeight="false" outlineLevel="0" collapsed="false">
      <c r="A37" s="16" t="s">
        <v>383</v>
      </c>
      <c r="B37" s="16" t="s">
        <v>386</v>
      </c>
      <c r="C37" s="16" t="s">
        <v>68</v>
      </c>
      <c r="D37" s="16" t="s">
        <v>316</v>
      </c>
      <c r="E37" s="16" t="s">
        <v>380</v>
      </c>
      <c r="F37" s="16" t="s">
        <v>381</v>
      </c>
      <c r="G37" s="16" t="s">
        <v>384</v>
      </c>
      <c r="H37" s="16" t="s">
        <v>385</v>
      </c>
      <c r="I37" s="16" t="s">
        <v>387</v>
      </c>
      <c r="J37" s="16" t="s">
        <v>274</v>
      </c>
      <c r="K37" s="16" t="s">
        <v>91</v>
      </c>
      <c r="L37" s="16" t="s">
        <v>382</v>
      </c>
      <c r="M37" s="18" t="n">
        <f aca="false">COUNTIF(Case_Link!$E$2:$E$51,H37)</f>
        <v>1</v>
      </c>
      <c r="N37" s="16" t="s">
        <v>527</v>
      </c>
      <c r="O37" s="16" t="s">
        <v>528</v>
      </c>
      <c r="P37" s="16" t="s">
        <v>529</v>
      </c>
    </row>
    <row r="38" customFormat="false" ht="35.05" hidden="false" customHeight="false" outlineLevel="0" collapsed="false">
      <c r="A38" s="16" t="s">
        <v>391</v>
      </c>
      <c r="B38" s="16" t="s">
        <v>394</v>
      </c>
      <c r="C38" s="16" t="s">
        <v>68</v>
      </c>
      <c r="D38" s="16" t="s">
        <v>316</v>
      </c>
      <c r="E38" s="16" t="s">
        <v>389</v>
      </c>
      <c r="F38" s="16" t="s">
        <v>390</v>
      </c>
      <c r="G38" s="16" t="s">
        <v>392</v>
      </c>
      <c r="H38" s="16" t="s">
        <v>393</v>
      </c>
      <c r="I38" s="16" t="s">
        <v>395</v>
      </c>
      <c r="J38" s="16" t="s">
        <v>152</v>
      </c>
      <c r="K38" s="16" t="s">
        <v>91</v>
      </c>
      <c r="L38" s="16" t="s">
        <v>390</v>
      </c>
      <c r="M38" s="18" t="n">
        <f aca="false">COUNTIF(Case_Link!$E$2:$E$51,H38)</f>
        <v>1</v>
      </c>
      <c r="N38" s="16" t="s">
        <v>530</v>
      </c>
      <c r="O38" s="16" t="s">
        <v>531</v>
      </c>
      <c r="P38" s="16" t="s">
        <v>532</v>
      </c>
    </row>
    <row r="39" customFormat="false" ht="23.85" hidden="false" customHeight="false" outlineLevel="0" collapsed="false">
      <c r="A39" s="17" t="s">
        <v>401</v>
      </c>
      <c r="B39" s="17" t="s">
        <v>405</v>
      </c>
      <c r="C39" s="17" t="s">
        <v>68</v>
      </c>
      <c r="D39" s="17" t="s">
        <v>316</v>
      </c>
      <c r="E39" s="17" t="s">
        <v>397</v>
      </c>
      <c r="F39" s="17" t="s">
        <v>398</v>
      </c>
      <c r="G39" s="17" t="s">
        <v>402</v>
      </c>
      <c r="H39" s="17" t="s">
        <v>403</v>
      </c>
      <c r="I39" s="17" t="s">
        <v>406</v>
      </c>
      <c r="J39" s="17" t="s">
        <v>407</v>
      </c>
      <c r="K39" s="17" t="s">
        <v>149</v>
      </c>
      <c r="L39" s="17" t="s">
        <v>404</v>
      </c>
      <c r="M39" s="19" t="n">
        <f aca="false">COUNTIF(Case_Link!$E$2:$E$51,H39)</f>
        <v>1</v>
      </c>
      <c r="N39" s="17"/>
      <c r="O39" s="17" t="s">
        <v>533</v>
      </c>
      <c r="P39" s="17"/>
    </row>
    <row r="40" customFormat="false" ht="15" hidden="false" customHeight="false" outlineLevel="0" collapsed="false">
      <c r="A40" s="17" t="s">
        <v>408</v>
      </c>
      <c r="B40" s="17" t="s">
        <v>411</v>
      </c>
      <c r="C40" s="17" t="s">
        <v>68</v>
      </c>
      <c r="D40" s="17" t="s">
        <v>316</v>
      </c>
      <c r="E40" s="17" t="s">
        <v>397</v>
      </c>
      <c r="F40" s="17" t="s">
        <v>398</v>
      </c>
      <c r="G40" s="17" t="s">
        <v>409</v>
      </c>
      <c r="H40" s="17" t="s">
        <v>410</v>
      </c>
      <c r="I40" s="17" t="s">
        <v>412</v>
      </c>
      <c r="J40" s="17" t="s">
        <v>413</v>
      </c>
      <c r="K40" s="17" t="s">
        <v>149</v>
      </c>
      <c r="L40" s="17" t="s">
        <v>398</v>
      </c>
      <c r="M40" s="19" t="n">
        <f aca="false">COUNTIF(Case_Link!$E$2:$E$51,H40)</f>
        <v>1</v>
      </c>
      <c r="N40" s="17"/>
      <c r="O40" s="17" t="s">
        <v>534</v>
      </c>
      <c r="P40" s="17"/>
    </row>
    <row r="41" customFormat="false" ht="23.85" hidden="false" customHeight="false" outlineLevel="0" collapsed="false">
      <c r="A41" s="17" t="s">
        <v>415</v>
      </c>
      <c r="B41" s="17" t="s">
        <v>418</v>
      </c>
      <c r="C41" s="17" t="s">
        <v>68</v>
      </c>
      <c r="D41" s="17" t="s">
        <v>316</v>
      </c>
      <c r="E41" s="17" t="s">
        <v>414</v>
      </c>
      <c r="F41" s="17" t="s">
        <v>257</v>
      </c>
      <c r="G41" s="17" t="s">
        <v>416</v>
      </c>
      <c r="H41" s="17" t="s">
        <v>417</v>
      </c>
      <c r="I41" s="17" t="s">
        <v>419</v>
      </c>
      <c r="J41" s="17" t="s">
        <v>106</v>
      </c>
      <c r="K41" s="17" t="s">
        <v>149</v>
      </c>
      <c r="L41" s="17" t="s">
        <v>257</v>
      </c>
      <c r="M41" s="19" t="n">
        <f aca="false">COUNTIF(Case_Link!$E$2:$E$51,H41)</f>
        <v>1</v>
      </c>
      <c r="N41" s="17"/>
      <c r="O41" s="17" t="s">
        <v>535</v>
      </c>
      <c r="P41" s="17"/>
    </row>
    <row r="42" customFormat="false" ht="23.85" hidden="false" customHeight="false" outlineLevel="0" collapsed="false">
      <c r="A42" s="17" t="s">
        <v>421</v>
      </c>
      <c r="B42" s="17" t="s">
        <v>424</v>
      </c>
      <c r="C42" s="17" t="s">
        <v>68</v>
      </c>
      <c r="D42" s="17" t="s">
        <v>316</v>
      </c>
      <c r="E42" s="17" t="s">
        <v>420</v>
      </c>
      <c r="F42" s="17" t="s">
        <v>160</v>
      </c>
      <c r="G42" s="17" t="s">
        <v>422</v>
      </c>
      <c r="H42" s="17" t="s">
        <v>423</v>
      </c>
      <c r="I42" s="17" t="s">
        <v>425</v>
      </c>
      <c r="J42" s="17" t="s">
        <v>131</v>
      </c>
      <c r="K42" s="17" t="s">
        <v>149</v>
      </c>
      <c r="L42" s="17" t="s">
        <v>160</v>
      </c>
      <c r="M42" s="19" t="n">
        <f aca="false">COUNTIF(Case_Link!$E$2:$E$51,H42)</f>
        <v>1</v>
      </c>
      <c r="N42" s="17"/>
      <c r="O42" s="17" t="s">
        <v>536</v>
      </c>
      <c r="P42" s="17"/>
    </row>
    <row r="44" customFormat="false" ht="79.85" hidden="false" customHeight="false" outlineLevel="0" collapsed="false">
      <c r="A44" s="20" t="s">
        <v>537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13" t="s">
        <v>538</v>
      </c>
      <c r="B1" s="13" t="s">
        <v>539</v>
      </c>
      <c r="C1" s="13" t="s">
        <v>540</v>
      </c>
      <c r="D1" s="13" t="s">
        <v>541</v>
      </c>
      <c r="E1" s="13" t="s">
        <v>542</v>
      </c>
      <c r="F1" s="13" t="s">
        <v>543</v>
      </c>
      <c r="G1" s="13" t="s">
        <v>544</v>
      </c>
      <c r="H1" s="13" t="s">
        <v>545</v>
      </c>
      <c r="I1" s="13" t="s">
        <v>546</v>
      </c>
    </row>
    <row r="2" customFormat="false" ht="15" hidden="false" customHeight="false" outlineLevel="0" collapsed="false">
      <c r="A2" s="16" t="s">
        <v>547</v>
      </c>
      <c r="B2" s="16" t="s">
        <v>64</v>
      </c>
      <c r="C2" s="16" t="s">
        <v>103</v>
      </c>
      <c r="D2" s="16"/>
      <c r="E2" s="16" t="str">
        <f aca="false">IF(C2&lt;&gt;"",C2,D2)</f>
        <v>PUMP.BRNG.ROLL</v>
      </c>
      <c r="F2" s="16" t="s">
        <v>548</v>
      </c>
      <c r="G2" s="16" t="s">
        <v>549</v>
      </c>
      <c r="H2" s="16" t="str">
        <f aca="false">IFERROR(INDEX(Component_Map!$A$2:$A$42,MATCH(E2,Component_Map!$H$2:$H$42,0)),"UNMAPPED")</f>
        <v>CP-PUMP-BRNG-01</v>
      </c>
      <c r="I2" s="16" t="str">
        <f aca="false">IFERROR(INDEX(Component_Map!$G$2:$G$42,MATCH(E2,Component_Map!$H$2:$H$42,0)),"UNMAPPED")</f>
        <v>Rolling Element Bearing</v>
      </c>
    </row>
    <row r="3" customFormat="false" ht="15" hidden="false" customHeight="false" outlineLevel="0" collapsed="false">
      <c r="A3" s="16" t="s">
        <v>550</v>
      </c>
      <c r="B3" s="16" t="s">
        <v>64</v>
      </c>
      <c r="C3" s="16" t="s">
        <v>119</v>
      </c>
      <c r="D3" s="16"/>
      <c r="E3" s="16" t="str">
        <f aca="false">IF(C3&lt;&gt;"",C3,D3)</f>
        <v>PUMP.SEAL.FACE</v>
      </c>
      <c r="F3" s="16" t="s">
        <v>548</v>
      </c>
      <c r="G3" s="16" t="s">
        <v>551</v>
      </c>
      <c r="H3" s="16" t="str">
        <f aca="false">IFERROR(INDEX(Component_Map!$A$2:$A$42,MATCH(E3,Component_Map!$H$2:$H$42,0)),"UNMAPPED")</f>
        <v>CP-PUMP-SEAL-01</v>
      </c>
      <c r="I3" s="16" t="str">
        <f aca="false">IFERROR(INDEX(Component_Map!$G$2:$G$42,MATCH(E3,Component_Map!$H$2:$H$42,0)),"UNMAPPED")</f>
        <v>Seal Faces (Rotating / Stationary)</v>
      </c>
    </row>
    <row r="4" customFormat="false" ht="15" hidden="false" customHeight="false" outlineLevel="0" collapsed="false">
      <c r="A4" s="16" t="s">
        <v>552</v>
      </c>
      <c r="B4" s="16" t="s">
        <v>64</v>
      </c>
      <c r="C4" s="16" t="s">
        <v>163</v>
      </c>
      <c r="D4" s="16"/>
      <c r="E4" s="16" t="str">
        <f aca="false">IF(C4&lt;&gt;"",C4,D4)</f>
        <v>PUMP.DRVT.CPLG</v>
      </c>
      <c r="F4" s="16" t="s">
        <v>548</v>
      </c>
      <c r="G4" s="16" t="s">
        <v>553</v>
      </c>
      <c r="H4" s="16" t="str">
        <f aca="false">IFERROR(INDEX(Component_Map!$A$2:$A$42,MATCH(E4,Component_Map!$H$2:$H$42,0)),"UNMAPPED")</f>
        <v>CP-PUMP-DRVT-01</v>
      </c>
      <c r="I4" s="16" t="str">
        <f aca="false">IFERROR(INDEX(Component_Map!$G$2:$G$42,MATCH(E4,Component_Map!$H$2:$H$42,0)),"UNMAPPED")</f>
        <v>Flexible Coupling</v>
      </c>
    </row>
    <row r="5" customFormat="false" ht="15" hidden="false" customHeight="false" outlineLevel="0" collapsed="false">
      <c r="A5" s="16" t="s">
        <v>554</v>
      </c>
      <c r="B5" s="16" t="s">
        <v>64</v>
      </c>
      <c r="C5" s="16" t="s">
        <v>179</v>
      </c>
      <c r="D5" s="16"/>
      <c r="E5" s="16" t="str">
        <f aca="false">IF(C5&lt;&gt;"",C5,D5)</f>
        <v>PUMP.SUCT.STRN</v>
      </c>
      <c r="F5" s="16" t="s">
        <v>548</v>
      </c>
      <c r="G5" s="16" t="s">
        <v>555</v>
      </c>
      <c r="H5" s="16" t="str">
        <f aca="false">IFERROR(INDEX(Component_Map!$A$2:$A$42,MATCH(E5,Component_Map!$H$2:$H$42,0)),"UNMAPPED")</f>
        <v>CP-PUMP-SUCT-01</v>
      </c>
      <c r="I5" s="16" t="str">
        <f aca="false">IFERROR(INDEX(Component_Map!$G$2:$G$42,MATCH(E5,Component_Map!$H$2:$H$42,0)),"UNMAPPED")</f>
        <v>Suction Strainer</v>
      </c>
    </row>
    <row r="6" customFormat="false" ht="15" hidden="false" customHeight="false" outlineLevel="0" collapsed="false">
      <c r="A6" s="16" t="s">
        <v>556</v>
      </c>
      <c r="B6" s="16" t="s">
        <v>64</v>
      </c>
      <c r="C6" s="16" t="s">
        <v>128</v>
      </c>
      <c r="D6" s="16"/>
      <c r="E6" s="16" t="str">
        <f aca="false">IF(C6&lt;&gt;"",C6,D6)</f>
        <v>PUMP.HYDR.IMPL</v>
      </c>
      <c r="F6" s="16" t="s">
        <v>548</v>
      </c>
      <c r="G6" s="16" t="s">
        <v>557</v>
      </c>
      <c r="H6" s="16" t="str">
        <f aca="false">IFERROR(INDEX(Component_Map!$A$2:$A$42,MATCH(E6,Component_Map!$H$2:$H$42,0)),"UNMAPPED")</f>
        <v>CP-PUMP-HYDR-01</v>
      </c>
      <c r="I6" s="16" t="str">
        <f aca="false">IFERROR(INDEX(Component_Map!$G$2:$G$42,MATCH(E6,Component_Map!$H$2:$H$42,0)),"UNMAPPED")</f>
        <v>Impeller</v>
      </c>
    </row>
    <row r="7" customFormat="false" ht="15" hidden="false" customHeight="false" outlineLevel="0" collapsed="false">
      <c r="A7" s="16" t="s">
        <v>558</v>
      </c>
      <c r="B7" s="16" t="s">
        <v>64</v>
      </c>
      <c r="C7" s="16" t="s">
        <v>119</v>
      </c>
      <c r="D7" s="16"/>
      <c r="E7" s="16" t="str">
        <f aca="false">IF(C7&lt;&gt;"",C7,D7)</f>
        <v>PUMP.SEAL.FACE</v>
      </c>
      <c r="F7" s="16" t="s">
        <v>559</v>
      </c>
      <c r="G7" s="16" t="s">
        <v>551</v>
      </c>
      <c r="H7" s="16" t="str">
        <f aca="false">IFERROR(INDEX(Component_Map!$A$2:$A$42,MATCH(E7,Component_Map!$H$2:$H$42,0)),"UNMAPPED")</f>
        <v>CP-PUMP-SEAL-01</v>
      </c>
      <c r="I7" s="16" t="str">
        <f aca="false">IFERROR(INDEX(Component_Map!$G$2:$G$42,MATCH(E7,Component_Map!$H$2:$H$42,0)),"UNMAPPED")</f>
        <v>Seal Faces (Rotating / Stationary)</v>
      </c>
    </row>
    <row r="8" customFormat="false" ht="15" hidden="false" customHeight="false" outlineLevel="0" collapsed="false">
      <c r="A8" s="16" t="s">
        <v>560</v>
      </c>
      <c r="B8" s="16" t="s">
        <v>64</v>
      </c>
      <c r="C8" s="16" t="s">
        <v>103</v>
      </c>
      <c r="D8" s="16"/>
      <c r="E8" s="16" t="str">
        <f aca="false">IF(C8&lt;&gt;"",C8,D8)</f>
        <v>PUMP.BRNG.ROLL</v>
      </c>
      <c r="F8" s="16" t="s">
        <v>548</v>
      </c>
      <c r="G8" s="16" t="s">
        <v>561</v>
      </c>
      <c r="H8" s="16" t="str">
        <f aca="false">IFERROR(INDEX(Component_Map!$A$2:$A$42,MATCH(E8,Component_Map!$H$2:$H$42,0)),"UNMAPPED")</f>
        <v>CP-PUMP-BRNG-01</v>
      </c>
      <c r="I8" s="16" t="str">
        <f aca="false">IFERROR(INDEX(Component_Map!$G$2:$G$42,MATCH(E8,Component_Map!$H$2:$H$42,0)),"UNMAPPED")</f>
        <v>Rolling Element Bearing</v>
      </c>
    </row>
    <row r="9" customFormat="false" ht="15" hidden="false" customHeight="false" outlineLevel="0" collapsed="false">
      <c r="A9" s="16" t="s">
        <v>562</v>
      </c>
      <c r="B9" s="16" t="s">
        <v>64</v>
      </c>
      <c r="C9" s="16" t="s">
        <v>186</v>
      </c>
      <c r="D9" s="16"/>
      <c r="E9" s="16" t="str">
        <f aca="false">IF(C9&lt;&gt;"",C9,D9)</f>
        <v>PUMP.SUCT.PRIM</v>
      </c>
      <c r="F9" s="16" t="s">
        <v>548</v>
      </c>
      <c r="G9" s="16" t="s">
        <v>563</v>
      </c>
      <c r="H9" s="16" t="str">
        <f aca="false">IFERROR(INDEX(Component_Map!$A$2:$A$42,MATCH(E9,Component_Map!$H$2:$H$42,0)),"UNMAPPED")</f>
        <v>CP-PUMP-SUCT-02</v>
      </c>
      <c r="I9" s="16" t="str">
        <f aca="false">IFERROR(INDEX(Component_Map!$G$2:$G$42,MATCH(E9,Component_Map!$H$2:$H$42,0)),"UNMAPPED")</f>
        <v>Suction Line Joints and Gland Seal Interface</v>
      </c>
    </row>
    <row r="10" customFormat="false" ht="15" hidden="false" customHeight="false" outlineLevel="0" collapsed="false">
      <c r="A10" s="16" t="s">
        <v>564</v>
      </c>
      <c r="B10" s="16" t="s">
        <v>64</v>
      </c>
      <c r="C10" s="16" t="s">
        <v>110</v>
      </c>
      <c r="D10" s="16"/>
      <c r="E10" s="16" t="str">
        <f aca="false">IF(C10&lt;&gt;"",C10,D10)</f>
        <v>PUMP.BRNG.SEAL</v>
      </c>
      <c r="F10" s="16" t="s">
        <v>548</v>
      </c>
      <c r="G10" s="16" t="s">
        <v>565</v>
      </c>
      <c r="H10" s="16" t="str">
        <f aca="false">IFERROR(INDEX(Component_Map!$A$2:$A$42,MATCH(E10,Component_Map!$H$2:$H$42,0)),"UNMAPPED")</f>
        <v>CP-PUMP-BRNG-02</v>
      </c>
      <c r="I10" s="16" t="str">
        <f aca="false">IFERROR(INDEX(Component_Map!$G$2:$G$42,MATCH(E10,Component_Map!$H$2:$H$42,0)),"UNMAPPED")</f>
        <v>Bearing Housing Isolators / Lip Seals</v>
      </c>
    </row>
    <row r="11" customFormat="false" ht="23.85" hidden="false" customHeight="false" outlineLevel="0" collapsed="false">
      <c r="A11" s="16" t="s">
        <v>566</v>
      </c>
      <c r="B11" s="16" t="s">
        <v>64</v>
      </c>
      <c r="C11" s="16"/>
      <c r="D11" s="16" t="s">
        <v>148</v>
      </c>
      <c r="E11" s="16" t="str">
        <f aca="false">IF(C11&lt;&gt;"",C11,D11)</f>
        <v>PUMP.HYDR.BLKG</v>
      </c>
      <c r="F11" s="16" t="s">
        <v>567</v>
      </c>
      <c r="G11" s="16" t="s">
        <v>568</v>
      </c>
      <c r="H11" s="16" t="str">
        <f aca="false">IFERROR(INDEX(Component_Map!$A$2:$A$42,MATCH(E11,Component_Map!$H$2:$H$42,0)),"UNMAPPED")</f>
        <v>CP-PUMP-HYDR-04</v>
      </c>
      <c r="I11" s="16" t="str">
        <f aca="false">IFERROR(INDEX(Component_Map!$G$2:$G$42,MATCH(E11,Component_Map!$H$2:$H$42,0)),"UNMAPPED")</f>
        <v>Impeller Flow Passage</v>
      </c>
    </row>
    <row r="12" customFormat="false" ht="23.85" hidden="false" customHeight="false" outlineLevel="0" collapsed="false">
      <c r="A12" s="16" t="s">
        <v>569</v>
      </c>
      <c r="B12" s="16" t="s">
        <v>64</v>
      </c>
      <c r="C12" s="16"/>
      <c r="D12" s="16" t="s">
        <v>155</v>
      </c>
      <c r="E12" s="16" t="str">
        <f aca="false">IF(C12&lt;&gt;"",C12,D12)</f>
        <v>PUMP.HYDR.RNOT</v>
      </c>
      <c r="F12" s="16" t="s">
        <v>567</v>
      </c>
      <c r="G12" s="16" t="s">
        <v>570</v>
      </c>
      <c r="H12" s="16" t="str">
        <f aca="false">IFERROR(INDEX(Component_Map!$A$2:$A$42,MATCH(E12,Component_Map!$H$2:$H$42,0)),"UNMAPPED")</f>
        <v>CP-PUMP-HYDR-05</v>
      </c>
      <c r="I12" s="16" t="str">
        <f aca="false">IFERROR(INDEX(Component_Map!$G$2:$G$42,MATCH(E12,Component_Map!$H$2:$H$42,0)),"UNMAPPED")</f>
        <v>Pump-System Duty Point</v>
      </c>
    </row>
    <row r="13" customFormat="false" ht="23.85" hidden="false" customHeight="false" outlineLevel="0" collapsed="false">
      <c r="A13" s="16" t="s">
        <v>571</v>
      </c>
      <c r="B13" s="16" t="s">
        <v>64</v>
      </c>
      <c r="C13" s="16"/>
      <c r="D13" s="16" t="s">
        <v>169</v>
      </c>
      <c r="E13" s="16" t="str">
        <f aca="false">IF(C13&lt;&gt;"",C13,D13)</f>
        <v>PUMP.DRVT.OVLD</v>
      </c>
      <c r="F13" s="16" t="s">
        <v>567</v>
      </c>
      <c r="G13" s="16" t="s">
        <v>572</v>
      </c>
      <c r="H13" s="16" t="str">
        <f aca="false">IFERROR(INDEX(Component_Map!$A$2:$A$42,MATCH(E13,Component_Map!$H$2:$H$42,0)),"UNMAPPED")</f>
        <v>CP-PUMP-DRVT-02</v>
      </c>
      <c r="I13" s="16" t="str">
        <f aca="false">IFERROR(INDEX(Component_Map!$G$2:$G$42,MATCH(E13,Component_Map!$H$2:$H$42,0)),"UNMAPPED")</f>
        <v>Pump Rotating Assembly / Motor Protection</v>
      </c>
    </row>
    <row r="14" customFormat="false" ht="15" hidden="false" customHeight="false" outlineLevel="0" collapsed="false">
      <c r="A14" s="16" t="s">
        <v>573</v>
      </c>
      <c r="B14" s="16" t="s">
        <v>64</v>
      </c>
      <c r="C14" s="16" t="s">
        <v>135</v>
      </c>
      <c r="D14" s="16"/>
      <c r="E14" s="16" t="str">
        <f aca="false">IF(C14&lt;&gt;"",C14,D14)</f>
        <v>PUMP.HYDR.WEAR</v>
      </c>
      <c r="F14" s="16" t="s">
        <v>559</v>
      </c>
      <c r="G14" s="16" t="s">
        <v>555</v>
      </c>
      <c r="H14" s="16" t="str">
        <f aca="false">IFERROR(INDEX(Component_Map!$A$2:$A$42,MATCH(E14,Component_Map!$H$2:$H$42,0)),"UNMAPPED")</f>
        <v>CP-PUMP-HYDR-02</v>
      </c>
      <c r="I14" s="16" t="str">
        <f aca="false">IFERROR(INDEX(Component_Map!$G$2:$G$42,MATCH(E14,Component_Map!$H$2:$H$42,0)),"UNMAPPED")</f>
        <v>Impeller and Wear Rings</v>
      </c>
    </row>
    <row r="15" customFormat="false" ht="15" hidden="false" customHeight="false" outlineLevel="0" collapsed="false">
      <c r="A15" s="16" t="s">
        <v>574</v>
      </c>
      <c r="B15" s="16" t="s">
        <v>64</v>
      </c>
      <c r="C15" s="16" t="s">
        <v>163</v>
      </c>
      <c r="D15" s="16"/>
      <c r="E15" s="16" t="str">
        <f aca="false">IF(C15&lt;&gt;"",C15,D15)</f>
        <v>PUMP.DRVT.CPLG</v>
      </c>
      <c r="F15" s="16" t="s">
        <v>559</v>
      </c>
      <c r="G15" s="16" t="s">
        <v>553</v>
      </c>
      <c r="H15" s="16" t="str">
        <f aca="false">IFERROR(INDEX(Component_Map!$A$2:$A$42,MATCH(E15,Component_Map!$H$2:$H$42,0)),"UNMAPPED")</f>
        <v>CP-PUMP-DRVT-01</v>
      </c>
      <c r="I15" s="16" t="str">
        <f aca="false">IFERROR(INDEX(Component_Map!$G$2:$G$42,MATCH(E15,Component_Map!$H$2:$H$42,0)),"UNMAPPED")</f>
        <v>Flexible Coupling</v>
      </c>
    </row>
    <row r="16" customFormat="false" ht="15" hidden="false" customHeight="false" outlineLevel="0" collapsed="false">
      <c r="A16" s="16" t="s">
        <v>575</v>
      </c>
      <c r="B16" s="16" t="s">
        <v>64</v>
      </c>
      <c r="C16" s="16" t="s">
        <v>142</v>
      </c>
      <c r="D16" s="16"/>
      <c r="E16" s="16" t="str">
        <f aca="false">IF(C16&lt;&gt;"",C16,D16)</f>
        <v>PUMP.HYDR.RECR</v>
      </c>
      <c r="F16" s="16" t="s">
        <v>559</v>
      </c>
      <c r="G16" s="16" t="s">
        <v>553</v>
      </c>
      <c r="H16" s="16" t="str">
        <f aca="false">IFERROR(INDEX(Component_Map!$A$2:$A$42,MATCH(E16,Component_Map!$H$2:$H$42,0)),"UNMAPPED")</f>
        <v>CP-PUMP-HYDR-03</v>
      </c>
      <c r="I16" s="16" t="str">
        <f aca="false">IFERROR(INDEX(Component_Map!$G$2:$G$42,MATCH(E16,Component_Map!$H$2:$H$42,0)),"UNMAPPED")</f>
        <v>Impeller and Casing Volute</v>
      </c>
    </row>
    <row r="17" customFormat="false" ht="15" hidden="false" customHeight="false" outlineLevel="0" collapsed="false">
      <c r="A17" s="16" t="s">
        <v>576</v>
      </c>
      <c r="B17" s="16" t="s">
        <v>64</v>
      </c>
      <c r="C17" s="16" t="s">
        <v>186</v>
      </c>
      <c r="D17" s="16"/>
      <c r="E17" s="16" t="str">
        <f aca="false">IF(C17&lt;&gt;"",C17,D17)</f>
        <v>PUMP.SUCT.PRIM</v>
      </c>
      <c r="F17" s="16" t="s">
        <v>559</v>
      </c>
      <c r="G17" s="16" t="s">
        <v>555</v>
      </c>
      <c r="H17" s="16" t="str">
        <f aca="false">IFERROR(INDEX(Component_Map!$A$2:$A$42,MATCH(E17,Component_Map!$H$2:$H$42,0)),"UNMAPPED")</f>
        <v>CP-PUMP-SUCT-02</v>
      </c>
      <c r="I17" s="16" t="str">
        <f aca="false">IFERROR(INDEX(Component_Map!$G$2:$G$42,MATCH(E17,Component_Map!$H$2:$H$42,0)),"UNMAPPED")</f>
        <v>Suction Line Joints and Gland Seal Interface</v>
      </c>
    </row>
    <row r="18" customFormat="false" ht="15" hidden="false" customHeight="false" outlineLevel="0" collapsed="false">
      <c r="A18" s="16" t="s">
        <v>577</v>
      </c>
      <c r="B18" s="16" t="s">
        <v>64</v>
      </c>
      <c r="C18" s="16" t="s">
        <v>195</v>
      </c>
      <c r="D18" s="16"/>
      <c r="E18" s="16" t="str">
        <f aca="false">IF(C18&lt;&gt;"",C18,D18)</f>
        <v>PUMP.SHFT.SHAF</v>
      </c>
      <c r="F18" s="16" t="s">
        <v>559</v>
      </c>
      <c r="G18" s="16" t="s">
        <v>563</v>
      </c>
      <c r="H18" s="16" t="str">
        <f aca="false">IFERROR(INDEX(Component_Map!$A$2:$A$42,MATCH(E18,Component_Map!$H$2:$H$42,0)),"UNMAPPED")</f>
        <v>CP-PUMP-SHFT-01</v>
      </c>
      <c r="I18" s="16" t="str">
        <f aca="false">IFERROR(INDEX(Component_Map!$G$2:$G$42,MATCH(E18,Component_Map!$H$2:$H$42,0)),"UNMAPPED")</f>
        <v>Pump Shaft</v>
      </c>
    </row>
    <row r="19" customFormat="false" ht="23.85" hidden="false" customHeight="false" outlineLevel="0" collapsed="false">
      <c r="A19" s="16" t="s">
        <v>578</v>
      </c>
      <c r="B19" s="16" t="s">
        <v>66</v>
      </c>
      <c r="C19" s="16" t="s">
        <v>207</v>
      </c>
      <c r="D19" s="16"/>
      <c r="E19" s="16" t="str">
        <f aca="false">IF(C19&lt;&gt;"",C19,D19)</f>
        <v>ELEC.MOT.STAT</v>
      </c>
      <c r="F19" s="16" t="s">
        <v>548</v>
      </c>
      <c r="G19" s="16" t="s">
        <v>579</v>
      </c>
      <c r="H19" s="16" t="str">
        <f aca="false">IFERROR(INDEX(Component_Map!$A$2:$A$42,MATCH(E19,Component_Map!$H$2:$H$42,0)),"UNMAPPED")</f>
        <v>CP-MOT-STAT-01</v>
      </c>
      <c r="I19" s="16" t="str">
        <f aca="false">IFERROR(INDEX(Component_Map!$G$2:$G$42,MATCH(E19,Component_Map!$H$2:$H$42,0)),"UNMAPPED")</f>
        <v>Winding Insulation (Copper Magnet Wire and Varnish)</v>
      </c>
    </row>
    <row r="20" customFormat="false" ht="15" hidden="false" customHeight="false" outlineLevel="0" collapsed="false">
      <c r="A20" s="16" t="s">
        <v>580</v>
      </c>
      <c r="B20" s="16" t="s">
        <v>66</v>
      </c>
      <c r="C20" s="16" t="s">
        <v>215</v>
      </c>
      <c r="D20" s="16"/>
      <c r="E20" s="16" t="str">
        <f aca="false">IF(C20&lt;&gt;"",C20,D20)</f>
        <v>ELEC.MOT.BRNG</v>
      </c>
      <c r="F20" s="16" t="s">
        <v>548</v>
      </c>
      <c r="G20" s="16" t="s">
        <v>581</v>
      </c>
      <c r="H20" s="16" t="str">
        <f aca="false">IFERROR(INDEX(Component_Map!$A$2:$A$42,MATCH(E20,Component_Map!$H$2:$H$42,0)),"UNMAPPED")</f>
        <v>CP-MOT-BRNG-01</v>
      </c>
      <c r="I20" s="16" t="str">
        <f aca="false">IFERROR(INDEX(Component_Map!$G$2:$G$42,MATCH(E20,Component_Map!$H$2:$H$42,0)),"UNMAPPED")</f>
        <v>Drive-End Bearing and Grease</v>
      </c>
    </row>
    <row r="21" customFormat="false" ht="15" hidden="false" customHeight="false" outlineLevel="0" collapsed="false">
      <c r="A21" s="16" t="s">
        <v>582</v>
      </c>
      <c r="B21" s="16" t="s">
        <v>66</v>
      </c>
      <c r="C21" s="16" t="s">
        <v>244</v>
      </c>
      <c r="D21" s="16"/>
      <c r="E21" s="16" t="str">
        <f aca="false">IF(C21&lt;&gt;"",C21,D21)</f>
        <v>ELEC.MOT.COOL</v>
      </c>
      <c r="F21" s="16" t="s">
        <v>548</v>
      </c>
      <c r="G21" s="16" t="s">
        <v>583</v>
      </c>
      <c r="H21" s="16" t="str">
        <f aca="false">IFERROR(INDEX(Component_Map!$A$2:$A$42,MATCH(E21,Component_Map!$H$2:$H$42,0)),"UNMAPPED")</f>
        <v>CP-MOT-COOL-01</v>
      </c>
      <c r="I21" s="16" t="str">
        <f aca="false">IFERROR(INDEX(Component_Map!$G$2:$G$42,MATCH(E21,Component_Map!$H$2:$H$42,0)),"UNMAPPED")</f>
        <v>Cooling Fan and Cowl</v>
      </c>
    </row>
    <row r="22" customFormat="false" ht="23.85" hidden="false" customHeight="false" outlineLevel="0" collapsed="false">
      <c r="A22" s="16" t="s">
        <v>584</v>
      </c>
      <c r="B22" s="16" t="s">
        <v>66</v>
      </c>
      <c r="C22" s="16"/>
      <c r="D22" s="16" t="s">
        <v>278</v>
      </c>
      <c r="E22" s="16" t="str">
        <f aca="false">IF(C22&lt;&gt;"",C22,D22)</f>
        <v>ELEC.MOT.STRT</v>
      </c>
      <c r="F22" s="16" t="s">
        <v>567</v>
      </c>
      <c r="G22" s="16" t="s">
        <v>585</v>
      </c>
      <c r="H22" s="16" t="str">
        <f aca="false">IFERROR(INDEX(Component_Map!$A$2:$A$42,MATCH(E22,Component_Map!$H$2:$H$42,0)),"UNMAPPED")</f>
        <v>CP-MOT-SUPP-02</v>
      </c>
      <c r="I22" s="16" t="str">
        <f aca="false">IFERROR(INDEX(Component_Map!$G$2:$G$42,MATCH(E22,Component_Map!$H$2:$H$42,0)),"UNMAPPED")</f>
        <v>Thermal Overload Relay</v>
      </c>
    </row>
    <row r="23" customFormat="false" ht="15" hidden="false" customHeight="false" outlineLevel="0" collapsed="false">
      <c r="A23" s="16" t="s">
        <v>586</v>
      </c>
      <c r="B23" s="16" t="s">
        <v>66</v>
      </c>
      <c r="C23" s="16" t="s">
        <v>236</v>
      </c>
      <c r="D23" s="16"/>
      <c r="E23" s="16" t="str">
        <f aca="false">IF(C23&lt;&gt;"",C23,D23)</f>
        <v>ELEC.MOT.IMBL</v>
      </c>
      <c r="F23" s="16" t="s">
        <v>548</v>
      </c>
      <c r="G23" s="16" t="s">
        <v>587</v>
      </c>
      <c r="H23" s="16" t="str">
        <f aca="false">IFERROR(INDEX(Component_Map!$A$2:$A$42,MATCH(E23,Component_Map!$H$2:$H$42,0)),"UNMAPPED")</f>
        <v>CP-MOT-ROTR-02</v>
      </c>
      <c r="I23" s="16" t="str">
        <f aca="false">IFERROR(INDEX(Component_Map!$G$2:$G$42,MATCH(E23,Component_Map!$H$2:$H$42,0)),"UNMAPPED")</f>
        <v>Rotor Core and Shaft</v>
      </c>
    </row>
    <row r="24" customFormat="false" ht="15" hidden="false" customHeight="false" outlineLevel="0" collapsed="false">
      <c r="A24" s="16" t="s">
        <v>588</v>
      </c>
      <c r="B24" s="16" t="s">
        <v>66</v>
      </c>
      <c r="C24" s="16" t="s">
        <v>215</v>
      </c>
      <c r="D24" s="16"/>
      <c r="E24" s="16" t="str">
        <f aca="false">IF(C24&lt;&gt;"",C24,D24)</f>
        <v>ELEC.MOT.BRNG</v>
      </c>
      <c r="F24" s="16" t="s">
        <v>548</v>
      </c>
      <c r="G24" s="16" t="s">
        <v>581</v>
      </c>
      <c r="H24" s="16" t="str">
        <f aca="false">IFERROR(INDEX(Component_Map!$A$2:$A$42,MATCH(E24,Component_Map!$H$2:$H$42,0)),"UNMAPPED")</f>
        <v>CP-MOT-BRNG-01</v>
      </c>
      <c r="I24" s="16" t="str">
        <f aca="false">IFERROR(INDEX(Component_Map!$G$2:$G$42,MATCH(E24,Component_Map!$H$2:$H$42,0)),"UNMAPPED")</f>
        <v>Drive-End Bearing and Grease</v>
      </c>
    </row>
    <row r="25" customFormat="false" ht="23.85" hidden="false" customHeight="false" outlineLevel="0" collapsed="false">
      <c r="A25" s="16" t="s">
        <v>589</v>
      </c>
      <c r="B25" s="16" t="s">
        <v>66</v>
      </c>
      <c r="C25" s="16"/>
      <c r="D25" s="16" t="s">
        <v>285</v>
      </c>
      <c r="E25" s="16" t="str">
        <f aca="false">IF(C25&lt;&gt;"",C25,D25)</f>
        <v>ELEC.MOT.OVLD</v>
      </c>
      <c r="F25" s="16" t="s">
        <v>567</v>
      </c>
      <c r="G25" s="16" t="s">
        <v>590</v>
      </c>
      <c r="H25" s="16" t="str">
        <f aca="false">IFERROR(INDEX(Component_Map!$A$2:$A$42,MATCH(E25,Component_Map!$H$2:$H$42,0)),"UNMAPPED")</f>
        <v>CP-MOT-SUPP-03</v>
      </c>
      <c r="I25" s="16" t="str">
        <f aca="false">IFERROR(INDEX(Component_Map!$G$2:$G$42,MATCH(E25,Component_Map!$H$2:$H$42,0)),"UNMAPPED")</f>
        <v>Overload Protection</v>
      </c>
    </row>
    <row r="26" customFormat="false" ht="15" hidden="false" customHeight="false" outlineLevel="0" collapsed="false">
      <c r="A26" s="16" t="s">
        <v>591</v>
      </c>
      <c r="B26" s="16" t="s">
        <v>66</v>
      </c>
      <c r="C26" s="16" t="s">
        <v>270</v>
      </c>
      <c r="D26" s="16"/>
      <c r="E26" s="16" t="str">
        <f aca="false">IF(C26&lt;&gt;"",C26,D26)</f>
        <v>ELEC.MOT.SUPP</v>
      </c>
      <c r="F26" s="16" t="s">
        <v>548</v>
      </c>
      <c r="G26" s="16" t="s">
        <v>592</v>
      </c>
      <c r="H26" s="16" t="str">
        <f aca="false">IFERROR(INDEX(Component_Map!$A$2:$A$42,MATCH(E26,Component_Map!$H$2:$H$42,0)),"UNMAPPED")</f>
        <v>CP-MOT-SUPP-01</v>
      </c>
      <c r="I26" s="16" t="str">
        <f aca="false">IFERROR(INDEX(Component_Map!$G$2:$G$42,MATCH(E26,Component_Map!$H$2:$H$42,0)),"UNMAPPED")</f>
        <v>Supply Phase Conductors, Fuses and Contactor</v>
      </c>
    </row>
    <row r="27" customFormat="false" ht="23.85" hidden="false" customHeight="false" outlineLevel="0" collapsed="false">
      <c r="A27" s="16" t="s">
        <v>593</v>
      </c>
      <c r="B27" s="16" t="s">
        <v>66</v>
      </c>
      <c r="C27" s="16" t="s">
        <v>207</v>
      </c>
      <c r="D27" s="16"/>
      <c r="E27" s="16" t="str">
        <f aca="false">IF(C27&lt;&gt;"",C27,D27)</f>
        <v>ELEC.MOT.STAT</v>
      </c>
      <c r="F27" s="16" t="s">
        <v>548</v>
      </c>
      <c r="G27" s="16" t="s">
        <v>579</v>
      </c>
      <c r="H27" s="16" t="str">
        <f aca="false">IFERROR(INDEX(Component_Map!$A$2:$A$42,MATCH(E27,Component_Map!$H$2:$H$42,0)),"UNMAPPED")</f>
        <v>CP-MOT-STAT-01</v>
      </c>
      <c r="I27" s="16" t="str">
        <f aca="false">IFERROR(INDEX(Component_Map!$G$2:$G$42,MATCH(E27,Component_Map!$H$2:$H$42,0)),"UNMAPPED")</f>
        <v>Winding Insulation (Copper Magnet Wire and Varnish)</v>
      </c>
    </row>
    <row r="28" customFormat="false" ht="23.85" hidden="false" customHeight="false" outlineLevel="0" collapsed="false">
      <c r="A28" s="16" t="s">
        <v>594</v>
      </c>
      <c r="B28" s="16" t="s">
        <v>66</v>
      </c>
      <c r="C28" s="16"/>
      <c r="D28" s="16" t="s">
        <v>304</v>
      </c>
      <c r="E28" s="16" t="str">
        <f aca="false">IF(C28&lt;&gt;"",C28,D28)</f>
        <v>ELEC.MOT.VFDF</v>
      </c>
      <c r="F28" s="16" t="s">
        <v>567</v>
      </c>
      <c r="G28" s="16" t="s">
        <v>595</v>
      </c>
      <c r="H28" s="16" t="str">
        <f aca="false">IFERROR(INDEX(Component_Map!$A$2:$A$42,MATCH(E28,Component_Map!$H$2:$H$42,0)),"UNMAPPED")</f>
        <v>CP-MOT-DRIV-01</v>
      </c>
      <c r="I28" s="16" t="str">
        <f aca="false">IFERROR(INDEX(Component_Map!$G$2:$G$42,MATCH(E28,Component_Map!$H$2:$H$42,0)),"UNMAPPED")</f>
        <v>VFD Speed Feedback</v>
      </c>
    </row>
    <row r="29" customFormat="false" ht="15" hidden="false" customHeight="false" outlineLevel="0" collapsed="false">
      <c r="A29" s="16" t="s">
        <v>596</v>
      </c>
      <c r="B29" s="16" t="s">
        <v>66</v>
      </c>
      <c r="C29" s="16" t="s">
        <v>252</v>
      </c>
      <c r="D29" s="16"/>
      <c r="E29" s="16" t="str">
        <f aca="false">IF(C29&lt;&gt;"",C29,D29)</f>
        <v>ELEC.MOT.TERM</v>
      </c>
      <c r="F29" s="16" t="s">
        <v>548</v>
      </c>
      <c r="G29" s="16" t="s">
        <v>597</v>
      </c>
      <c r="H29" s="16" t="str">
        <f aca="false">IFERROR(INDEX(Component_Map!$A$2:$A$42,MATCH(E29,Component_Map!$H$2:$H$42,0)),"UNMAPPED")</f>
        <v>CP-MOT-TERM-01</v>
      </c>
      <c r="I29" s="16" t="str">
        <f aca="false">IFERROR(INDEX(Component_Map!$G$2:$G$42,MATCH(E29,Component_Map!$H$2:$H$42,0)),"UNMAPPED")</f>
        <v>Terminal Lugs and Connections</v>
      </c>
    </row>
    <row r="30" customFormat="false" ht="15" hidden="false" customHeight="false" outlineLevel="0" collapsed="false">
      <c r="A30" s="16" t="s">
        <v>598</v>
      </c>
      <c r="B30" s="16" t="s">
        <v>66</v>
      </c>
      <c r="C30" s="16" t="s">
        <v>244</v>
      </c>
      <c r="D30" s="16"/>
      <c r="E30" s="16" t="str">
        <f aca="false">IF(C30&lt;&gt;"",C30,D30)</f>
        <v>ELEC.MOT.COOL</v>
      </c>
      <c r="F30" s="16" t="s">
        <v>559</v>
      </c>
      <c r="G30" s="16" t="s">
        <v>599</v>
      </c>
      <c r="H30" s="16" t="str">
        <f aca="false">IFERROR(INDEX(Component_Map!$A$2:$A$42,MATCH(E30,Component_Map!$H$2:$H$42,0)),"UNMAPPED")</f>
        <v>CP-MOT-COOL-01</v>
      </c>
      <c r="I30" s="16" t="str">
        <f aca="false">IFERROR(INDEX(Component_Map!$G$2:$G$42,MATCH(E30,Component_Map!$H$2:$H$42,0)),"UNMAPPED")</f>
        <v>Cooling Fan and Cowl</v>
      </c>
    </row>
    <row r="31" customFormat="false" ht="15" hidden="false" customHeight="false" outlineLevel="0" collapsed="false">
      <c r="A31" s="16" t="s">
        <v>600</v>
      </c>
      <c r="B31" s="16" t="s">
        <v>66</v>
      </c>
      <c r="C31" s="16" t="s">
        <v>260</v>
      </c>
      <c r="D31" s="16"/>
      <c r="E31" s="16" t="str">
        <f aca="false">IF(C31&lt;&gt;"",C31,D31)</f>
        <v>ELEC.MOT.FEET</v>
      </c>
      <c r="F31" s="16" t="s">
        <v>548</v>
      </c>
      <c r="G31" s="16" t="s">
        <v>587</v>
      </c>
      <c r="H31" s="16" t="str">
        <f aca="false">IFERROR(INDEX(Component_Map!$A$2:$A$42,MATCH(E31,Component_Map!$H$2:$H$42,0)),"UNMAPPED")</f>
        <v>CP-MOT-MNTG-01</v>
      </c>
      <c r="I31" s="16" t="str">
        <f aca="false">IFERROR(INDEX(Component_Map!$G$2:$G$42,MATCH(E31,Component_Map!$H$2:$H$42,0)),"UNMAPPED")</f>
        <v>Motor Feet and Foundation Bolts</v>
      </c>
    </row>
    <row r="32" customFormat="false" ht="15" hidden="false" customHeight="false" outlineLevel="0" collapsed="false">
      <c r="A32" s="16" t="s">
        <v>601</v>
      </c>
      <c r="B32" s="16" t="s">
        <v>66</v>
      </c>
      <c r="C32" s="16" t="s">
        <v>294</v>
      </c>
      <c r="D32" s="16"/>
      <c r="E32" s="16" t="str">
        <f aca="false">IF(C32&lt;&gt;"",C32,D32)</f>
        <v>ELEC.MOT.AGAP</v>
      </c>
      <c r="F32" s="16" t="s">
        <v>559</v>
      </c>
      <c r="G32" s="16" t="s">
        <v>599</v>
      </c>
      <c r="H32" s="16" t="str">
        <f aca="false">IFERROR(INDEX(Component_Map!$A$2:$A$42,MATCH(E32,Component_Map!$H$2:$H$42,0)),"UNMAPPED")</f>
        <v>CP-MOT-AGAP-01</v>
      </c>
      <c r="I32" s="16" t="str">
        <f aca="false">IFERROR(INDEX(Component_Map!$G$2:$G$42,MATCH(E32,Component_Map!$H$2:$H$42,0)),"UNMAPPED")</f>
        <v>Air Gap (Rotor and Stator Core)</v>
      </c>
    </row>
    <row r="33" customFormat="false" ht="15" hidden="false" customHeight="false" outlineLevel="0" collapsed="false">
      <c r="A33" s="16" t="s">
        <v>602</v>
      </c>
      <c r="B33" s="16" t="s">
        <v>66</v>
      </c>
      <c r="C33" s="16" t="s">
        <v>230</v>
      </c>
      <c r="D33" s="16"/>
      <c r="E33" s="16" t="str">
        <f aca="false">IF(C33&lt;&gt;"",C33,D33)</f>
        <v>ELEC.MOT.ROTR</v>
      </c>
      <c r="F33" s="16" t="s">
        <v>559</v>
      </c>
      <c r="G33" s="16" t="s">
        <v>587</v>
      </c>
      <c r="H33" s="16" t="str">
        <f aca="false">IFERROR(INDEX(Component_Map!$A$2:$A$42,MATCH(E33,Component_Map!$H$2:$H$42,0)),"UNMAPPED")</f>
        <v>CP-MOT-ROTR-01</v>
      </c>
      <c r="I33" s="16" t="str">
        <f aca="false">IFERROR(INDEX(Component_Map!$G$2:$G$42,MATCH(E33,Component_Map!$H$2:$H$42,0)),"UNMAPPED")</f>
        <v>Squirrel-Cage Rotor Bars and End Rings</v>
      </c>
    </row>
    <row r="34" customFormat="false" ht="15" hidden="false" customHeight="false" outlineLevel="0" collapsed="false">
      <c r="A34" s="16" t="s">
        <v>603</v>
      </c>
      <c r="B34" s="16" t="s">
        <v>66</v>
      </c>
      <c r="C34" s="16" t="s">
        <v>222</v>
      </c>
      <c r="D34" s="16"/>
      <c r="E34" s="16" t="str">
        <f aca="false">IF(C34&lt;&gt;"",C34,D34)</f>
        <v>ELEC.MOT.BRDC</v>
      </c>
      <c r="F34" s="16" t="s">
        <v>559</v>
      </c>
      <c r="G34" s="16" t="s">
        <v>599</v>
      </c>
      <c r="H34" s="16" t="str">
        <f aca="false">IFERROR(INDEX(Component_Map!$A$2:$A$42,MATCH(E34,Component_Map!$H$2:$H$42,0)),"UNMAPPED")</f>
        <v>CP-MOT-BRNG-02</v>
      </c>
      <c r="I34" s="16" t="str">
        <f aca="false">IFERROR(INDEX(Component_Map!$G$2:$G$42,MATCH(E34,Component_Map!$H$2:$H$42,0)),"UNMAPPED")</f>
        <v>Bearing (Inverter-Fed Shaft Currents)</v>
      </c>
    </row>
    <row r="35" customFormat="false" ht="23.85" hidden="false" customHeight="false" outlineLevel="0" collapsed="false">
      <c r="A35" s="16" t="s">
        <v>604</v>
      </c>
      <c r="B35" s="16" t="s">
        <v>66</v>
      </c>
      <c r="C35" s="16"/>
      <c r="D35" s="16" t="s">
        <v>312</v>
      </c>
      <c r="E35" s="16" t="str">
        <f aca="false">IF(C35&lt;&gt;"",C35,D35)</f>
        <v>ELEC.MOT.CPLG</v>
      </c>
      <c r="F35" s="16" t="s">
        <v>567</v>
      </c>
      <c r="G35" s="16" t="s">
        <v>587</v>
      </c>
      <c r="H35" s="16" t="str">
        <f aca="false">IFERROR(INDEX(Component_Map!$A$2:$A$42,MATCH(E35,Component_Map!$H$2:$H$42,0)),"UNMAPPED")</f>
        <v>CP-MOT-CPLG-01</v>
      </c>
      <c r="I35" s="16" t="str">
        <f aca="false">IFERROR(INDEX(Component_Map!$G$2:$G$42,MATCH(E35,Component_Map!$H$2:$H$42,0)),"UNMAPPED")</f>
        <v>Motor-Load Coupling</v>
      </c>
    </row>
    <row r="36" customFormat="false" ht="15" hidden="false" customHeight="false" outlineLevel="0" collapsed="false">
      <c r="A36" s="16" t="s">
        <v>605</v>
      </c>
      <c r="B36" s="16" t="s">
        <v>68</v>
      </c>
      <c r="C36" s="16" t="s">
        <v>337</v>
      </c>
      <c r="D36" s="16"/>
      <c r="E36" s="16" t="str">
        <f aca="false">IF(C36&lt;&gt;"",C36,D36)</f>
        <v>COMP.OSEP.ELEM</v>
      </c>
      <c r="F36" s="16" t="s">
        <v>548</v>
      </c>
      <c r="G36" s="16" t="s">
        <v>606</v>
      </c>
      <c r="H36" s="16" t="str">
        <f aca="false">IFERROR(INDEX(Component_Map!$A$2:$A$42,MATCH(E36,Component_Map!$H$2:$H$42,0)),"UNMAPPED")</f>
        <v>CP-COMP-OSEP-01</v>
      </c>
      <c r="I36" s="16" t="str">
        <f aca="false">IFERROR(INDEX(Component_Map!$G$2:$G$42,MATCH(E36,Component_Map!$H$2:$H$42,0)),"UNMAPPED")</f>
        <v>Oil Separator Element</v>
      </c>
    </row>
    <row r="37" customFormat="false" ht="15" hidden="false" customHeight="false" outlineLevel="0" collapsed="false">
      <c r="A37" s="16" t="s">
        <v>607</v>
      </c>
      <c r="B37" s="16" t="s">
        <v>68</v>
      </c>
      <c r="C37" s="16" t="s">
        <v>361</v>
      </c>
      <c r="D37" s="16"/>
      <c r="E37" s="16" t="str">
        <f aca="false">IF(C37&lt;&gt;"",C37,D37)</f>
        <v>COMP.COOL.COLR</v>
      </c>
      <c r="F37" s="16" t="s">
        <v>548</v>
      </c>
      <c r="G37" s="16" t="s">
        <v>608</v>
      </c>
      <c r="H37" s="16" t="str">
        <f aca="false">IFERROR(INDEX(Component_Map!$A$2:$A$42,MATCH(E37,Component_Map!$H$2:$H$42,0)),"UNMAPPED")</f>
        <v>CP-COMP-COOL-01</v>
      </c>
      <c r="I37" s="16" t="str">
        <f aca="false">IFERROR(INDEX(Component_Map!$G$2:$G$42,MATCH(E37,Component_Map!$H$2:$H$42,0)),"UNMAPPED")</f>
        <v>Oil Cooler / Aftercooler</v>
      </c>
    </row>
    <row r="38" customFormat="false" ht="15" hidden="false" customHeight="false" outlineLevel="0" collapsed="false">
      <c r="A38" s="16" t="s">
        <v>609</v>
      </c>
      <c r="B38" s="16" t="s">
        <v>68</v>
      </c>
      <c r="C38" s="16" t="s">
        <v>361</v>
      </c>
      <c r="D38" s="16"/>
      <c r="E38" s="16" t="str">
        <f aca="false">IF(C38&lt;&gt;"",C38,D38)</f>
        <v>COMP.COOL.COLR</v>
      </c>
      <c r="F38" s="16" t="s">
        <v>548</v>
      </c>
      <c r="G38" s="16" t="s">
        <v>608</v>
      </c>
      <c r="H38" s="16" t="str">
        <f aca="false">IFERROR(INDEX(Component_Map!$A$2:$A$42,MATCH(E38,Component_Map!$H$2:$H$42,0)),"UNMAPPED")</f>
        <v>CP-COMP-COOL-01</v>
      </c>
      <c r="I38" s="16" t="str">
        <f aca="false">IFERROR(INDEX(Component_Map!$G$2:$G$42,MATCH(E38,Component_Map!$H$2:$H$42,0)),"UNMAPPED")</f>
        <v>Oil Cooler / Aftercooler</v>
      </c>
    </row>
    <row r="39" customFormat="false" ht="15" hidden="false" customHeight="false" outlineLevel="0" collapsed="false">
      <c r="A39" s="16" t="s">
        <v>610</v>
      </c>
      <c r="B39" s="16" t="s">
        <v>68</v>
      </c>
      <c r="C39" s="16" t="s">
        <v>354</v>
      </c>
      <c r="D39" s="16"/>
      <c r="E39" s="16" t="str">
        <f aca="false">IF(C39&lt;&gt;"",C39,D39)</f>
        <v>COMP.INTK.FILT</v>
      </c>
      <c r="F39" s="16" t="s">
        <v>548</v>
      </c>
      <c r="G39" s="16" t="s">
        <v>606</v>
      </c>
      <c r="H39" s="16" t="str">
        <f aca="false">IFERROR(INDEX(Component_Map!$A$2:$A$42,MATCH(E39,Component_Map!$H$2:$H$42,0)),"UNMAPPED")</f>
        <v>CP-COMP-INTK-01</v>
      </c>
      <c r="I39" s="16" t="str">
        <f aca="false">IFERROR(INDEX(Component_Map!$G$2:$G$42,MATCH(E39,Component_Map!$H$2:$H$42,0)),"UNMAPPED")</f>
        <v>Intake Air Filter</v>
      </c>
    </row>
    <row r="40" customFormat="false" ht="15" hidden="false" customHeight="false" outlineLevel="0" collapsed="false">
      <c r="A40" s="16" t="s">
        <v>611</v>
      </c>
      <c r="B40" s="16" t="s">
        <v>68</v>
      </c>
      <c r="C40" s="16" t="s">
        <v>337</v>
      </c>
      <c r="D40" s="16"/>
      <c r="E40" s="16" t="str">
        <f aca="false">IF(C40&lt;&gt;"",C40,D40)</f>
        <v>COMP.OSEP.ELEM</v>
      </c>
      <c r="F40" s="16" t="s">
        <v>559</v>
      </c>
      <c r="G40" s="16" t="s">
        <v>612</v>
      </c>
      <c r="H40" s="16" t="str">
        <f aca="false">IFERROR(INDEX(Component_Map!$A$2:$A$42,MATCH(E40,Component_Map!$H$2:$H$42,0)),"UNMAPPED")</f>
        <v>CP-COMP-OSEP-01</v>
      </c>
      <c r="I40" s="16" t="str">
        <f aca="false">IFERROR(INDEX(Component_Map!$G$2:$G$42,MATCH(E40,Component_Map!$H$2:$H$42,0)),"UNMAPPED")</f>
        <v>Oil Separator Element</v>
      </c>
    </row>
    <row r="41" customFormat="false" ht="23.85" hidden="false" customHeight="false" outlineLevel="0" collapsed="false">
      <c r="A41" s="16" t="s">
        <v>613</v>
      </c>
      <c r="B41" s="16" t="s">
        <v>68</v>
      </c>
      <c r="C41" s="16"/>
      <c r="D41" s="16" t="s">
        <v>403</v>
      </c>
      <c r="E41" s="16" t="str">
        <f aca="false">IF(C41&lt;&gt;"",C41,D41)</f>
        <v>COMP.CTRL.PSET</v>
      </c>
      <c r="F41" s="16" t="s">
        <v>567</v>
      </c>
      <c r="G41" s="16" t="s">
        <v>614</v>
      </c>
      <c r="H41" s="16" t="str">
        <f aca="false">IFERROR(INDEX(Component_Map!$A$2:$A$42,MATCH(E41,Component_Map!$H$2:$H$42,0)),"UNMAPPED")</f>
        <v>CP-COMP-INST-01</v>
      </c>
      <c r="I41" s="16" t="str">
        <f aca="false">IFERROR(INDEX(Component_Map!$G$2:$G$42,MATCH(E41,Component_Map!$H$2:$H$42,0)),"UNMAPPED")</f>
        <v>Pressure Switch / Control Differential</v>
      </c>
    </row>
    <row r="42" customFormat="false" ht="23.85" hidden="false" customHeight="false" outlineLevel="0" collapsed="false">
      <c r="A42" s="16" t="s">
        <v>615</v>
      </c>
      <c r="B42" s="16" t="s">
        <v>68</v>
      </c>
      <c r="C42" s="16"/>
      <c r="D42" s="16" t="s">
        <v>417</v>
      </c>
      <c r="E42" s="16" t="str">
        <f aca="false">IF(C42&lt;&gt;"",C42,D42)</f>
        <v>COMP.MNTG.BOLT</v>
      </c>
      <c r="F42" s="16" t="s">
        <v>567</v>
      </c>
      <c r="G42" s="16" t="s">
        <v>616</v>
      </c>
      <c r="H42" s="16" t="str">
        <f aca="false">IFERROR(INDEX(Component_Map!$A$2:$A$42,MATCH(E42,Component_Map!$H$2:$H$42,0)),"UNMAPPED")</f>
        <v>CP-COMP-MNTG-01</v>
      </c>
      <c r="I42" s="16" t="str">
        <f aca="false">IFERROR(INDEX(Component_Map!$G$2:$G$42,MATCH(E42,Component_Map!$H$2:$H$42,0)),"UNMAPPED")</f>
        <v>Mounting / Foundation Bolts</v>
      </c>
    </row>
    <row r="43" customFormat="false" ht="15" hidden="false" customHeight="false" outlineLevel="0" collapsed="false">
      <c r="A43" s="16" t="s">
        <v>617</v>
      </c>
      <c r="B43" s="16" t="s">
        <v>68</v>
      </c>
      <c r="C43" s="16" t="s">
        <v>369</v>
      </c>
      <c r="D43" s="16"/>
      <c r="E43" s="16" t="str">
        <f aca="false">IF(C43&lt;&gt;"",C43,D43)</f>
        <v>COMP.VALV.UNL</v>
      </c>
      <c r="F43" s="16" t="s">
        <v>548</v>
      </c>
      <c r="G43" s="16" t="s">
        <v>618</v>
      </c>
      <c r="H43" s="16" t="str">
        <f aca="false">IFERROR(INDEX(Component_Map!$A$2:$A$42,MATCH(E43,Component_Map!$H$2:$H$42,0)),"UNMAPPED")</f>
        <v>CP-COMP-CCTL-01</v>
      </c>
      <c r="I43" s="16" t="str">
        <f aca="false">IFERROR(INDEX(Component_Map!$G$2:$G$42,MATCH(E43,Component_Map!$H$2:$H$42,0)),"UNMAPPED")</f>
        <v>Inlet / Unloader Valve</v>
      </c>
    </row>
    <row r="44" customFormat="false" ht="15" hidden="false" customHeight="false" outlineLevel="0" collapsed="false">
      <c r="A44" s="16" t="s">
        <v>619</v>
      </c>
      <c r="B44" s="16" t="s">
        <v>68</v>
      </c>
      <c r="C44" s="16" t="s">
        <v>393</v>
      </c>
      <c r="D44" s="16"/>
      <c r="E44" s="16" t="str">
        <f aca="false">IF(C44&lt;&gt;"",C44,D44)</f>
        <v>COMP.COND.DRN</v>
      </c>
      <c r="F44" s="16" t="s">
        <v>548</v>
      </c>
      <c r="G44" s="16" t="s">
        <v>620</v>
      </c>
      <c r="H44" s="16" t="str">
        <f aca="false">IFERROR(INDEX(Component_Map!$A$2:$A$42,MATCH(E44,Component_Map!$H$2:$H$42,0)),"UNMAPPED")</f>
        <v>CP-COMP-CNDS-01</v>
      </c>
      <c r="I44" s="16" t="str">
        <f aca="false">IFERROR(INDEX(Component_Map!$G$2:$G$42,MATCH(E44,Component_Map!$H$2:$H$42,0)),"UNMAPPED")</f>
        <v>Automatic Condensate Drain</v>
      </c>
    </row>
    <row r="45" customFormat="false" ht="23.85" hidden="false" customHeight="false" outlineLevel="0" collapsed="false">
      <c r="A45" s="16" t="s">
        <v>621</v>
      </c>
      <c r="B45" s="16" t="s">
        <v>68</v>
      </c>
      <c r="C45" s="16"/>
      <c r="D45" s="16" t="s">
        <v>423</v>
      </c>
      <c r="E45" s="16" t="str">
        <f aca="false">IF(C45&lt;&gt;"",C45,D45)</f>
        <v>COMP.DRVT.CPLG</v>
      </c>
      <c r="F45" s="16" t="s">
        <v>567</v>
      </c>
      <c r="G45" s="16" t="s">
        <v>622</v>
      </c>
      <c r="H45" s="16" t="str">
        <f aca="false">IFERROR(INDEX(Component_Map!$A$2:$A$42,MATCH(E45,Component_Map!$H$2:$H$42,0)),"UNMAPPED")</f>
        <v>CP-COMP-DRVT-01</v>
      </c>
      <c r="I45" s="16" t="str">
        <f aca="false">IFERROR(INDEX(Component_Map!$G$2:$G$42,MATCH(E45,Component_Map!$H$2:$H$42,0)),"UNMAPPED")</f>
        <v>Drive Coupling Element</v>
      </c>
    </row>
    <row r="46" customFormat="false" ht="15" hidden="false" customHeight="false" outlineLevel="0" collapsed="false">
      <c r="A46" s="16" t="s">
        <v>623</v>
      </c>
      <c r="B46" s="16" t="s">
        <v>68</v>
      </c>
      <c r="C46" s="16" t="s">
        <v>344</v>
      </c>
      <c r="D46" s="16"/>
      <c r="E46" s="16" t="str">
        <f aca="false">IF(C46&lt;&gt;"",C46,D46)</f>
        <v>COMP.VALV.MPV</v>
      </c>
      <c r="F46" s="16" t="s">
        <v>548</v>
      </c>
      <c r="G46" s="16" t="s">
        <v>606</v>
      </c>
      <c r="H46" s="16" t="str">
        <f aca="false">IFERROR(INDEX(Component_Map!$A$2:$A$42,MATCH(E46,Component_Map!$H$2:$H$42,0)),"UNMAPPED")</f>
        <v>CP-COMP-OSEP-02</v>
      </c>
      <c r="I46" s="16" t="str">
        <f aca="false">IFERROR(INDEX(Component_Map!$G$2:$G$42,MATCH(E46,Component_Map!$H$2:$H$42,0)),"UNMAPPED")</f>
        <v>Minimum Pressure Valve</v>
      </c>
    </row>
    <row r="47" customFormat="false" ht="15" hidden="false" customHeight="false" outlineLevel="0" collapsed="false">
      <c r="A47" s="16" t="s">
        <v>624</v>
      </c>
      <c r="B47" s="16" t="s">
        <v>68</v>
      </c>
      <c r="C47" s="16" t="s">
        <v>327</v>
      </c>
      <c r="D47" s="16"/>
      <c r="E47" s="16" t="str">
        <f aca="false">IF(C47&lt;&gt;"",C47,D47)</f>
        <v>COMP.AEND.BRNG</v>
      </c>
      <c r="F47" s="16" t="s">
        <v>548</v>
      </c>
      <c r="G47" s="16" t="s">
        <v>616</v>
      </c>
      <c r="H47" s="16" t="str">
        <f aca="false">IFERROR(INDEX(Component_Map!$A$2:$A$42,MATCH(E47,Component_Map!$H$2:$H$42,0)),"UNMAPPED")</f>
        <v>CP-COMP-AEND-02</v>
      </c>
      <c r="I47" s="16" t="str">
        <f aca="false">IFERROR(INDEX(Component_Map!$G$2:$G$42,MATCH(E47,Component_Map!$H$2:$H$42,0)),"UNMAPPED")</f>
        <v>Air End Bearings</v>
      </c>
    </row>
    <row r="48" customFormat="false" ht="15" hidden="false" customHeight="false" outlineLevel="0" collapsed="false">
      <c r="A48" s="16" t="s">
        <v>625</v>
      </c>
      <c r="B48" s="16" t="s">
        <v>68</v>
      </c>
      <c r="C48" s="16" t="s">
        <v>321</v>
      </c>
      <c r="D48" s="16"/>
      <c r="E48" s="16" t="str">
        <f aca="false">IF(C48&lt;&gt;"",C48,D48)</f>
        <v>COMP.AEND.ROTR</v>
      </c>
      <c r="F48" s="16" t="s">
        <v>559</v>
      </c>
      <c r="G48" s="16" t="s">
        <v>606</v>
      </c>
      <c r="H48" s="16" t="str">
        <f aca="false">IFERROR(INDEX(Component_Map!$A$2:$A$42,MATCH(E48,Component_Map!$H$2:$H$42,0)),"UNMAPPED")</f>
        <v>CP-COMP-AEND-01</v>
      </c>
      <c r="I48" s="16" t="str">
        <f aca="false">IFERROR(INDEX(Component_Map!$G$2:$G$42,MATCH(E48,Component_Map!$H$2:$H$42,0)),"UNMAPPED")</f>
        <v>Rotor Screws (Male / Female)</v>
      </c>
    </row>
    <row r="49" customFormat="false" ht="15" hidden="false" customHeight="false" outlineLevel="0" collapsed="false">
      <c r="A49" s="16" t="s">
        <v>626</v>
      </c>
      <c r="B49" s="16" t="s">
        <v>68</v>
      </c>
      <c r="C49" s="16" t="s">
        <v>385</v>
      </c>
      <c r="D49" s="16"/>
      <c r="E49" s="16" t="str">
        <f aca="false">IF(C49&lt;&gt;"",C49,D49)</f>
        <v>COMP.OILS.THRM</v>
      </c>
      <c r="F49" s="16" t="s">
        <v>548</v>
      </c>
      <c r="G49" s="16" t="s">
        <v>608</v>
      </c>
      <c r="H49" s="16" t="str">
        <f aca="false">IFERROR(INDEX(Component_Map!$A$2:$A$42,MATCH(E49,Component_Map!$H$2:$H$42,0)),"UNMAPPED")</f>
        <v>CP-COMP-OILS-01</v>
      </c>
      <c r="I49" s="16" t="str">
        <f aca="false">IFERROR(INDEX(Component_Map!$G$2:$G$42,MATCH(E49,Component_Map!$H$2:$H$42,0)),"UNMAPPED")</f>
        <v>Thermostatic (Temperature Control) Valve</v>
      </c>
    </row>
    <row r="50" customFormat="false" ht="15" hidden="false" customHeight="false" outlineLevel="0" collapsed="false">
      <c r="A50" s="16" t="s">
        <v>627</v>
      </c>
      <c r="B50" s="16" t="s">
        <v>68</v>
      </c>
      <c r="C50" s="16" t="s">
        <v>376</v>
      </c>
      <c r="D50" s="16"/>
      <c r="E50" s="16" t="str">
        <f aca="false">IF(C50&lt;&gt;"",C50,D50)</f>
        <v>COMP.VALV.SOL</v>
      </c>
      <c r="F50" s="16" t="s">
        <v>559</v>
      </c>
      <c r="G50" s="16" t="s">
        <v>618</v>
      </c>
      <c r="H50" s="16" t="str">
        <f aca="false">IFERROR(INDEX(Component_Map!$A$2:$A$42,MATCH(E50,Component_Map!$H$2:$H$42,0)),"UNMAPPED")</f>
        <v>CP-COMP-CCTL-02</v>
      </c>
      <c r="I50" s="16" t="str">
        <f aca="false">IFERROR(INDEX(Component_Map!$G$2:$G$42,MATCH(E50,Component_Map!$H$2:$H$42,0)),"UNMAPPED")</f>
        <v>Solenoid Valve (Load / Unload)</v>
      </c>
    </row>
    <row r="51" customFormat="false" ht="23.85" hidden="false" customHeight="false" outlineLevel="0" collapsed="false">
      <c r="A51" s="16" t="s">
        <v>628</v>
      </c>
      <c r="B51" s="16" t="s">
        <v>68</v>
      </c>
      <c r="C51" s="16"/>
      <c r="D51" s="16" t="s">
        <v>410</v>
      </c>
      <c r="E51" s="16" t="str">
        <f aca="false">IF(C51&lt;&gt;"",C51,D51)</f>
        <v>COMP.CTRL.PSEN</v>
      </c>
      <c r="F51" s="16" t="s">
        <v>567</v>
      </c>
      <c r="G51" s="16" t="s">
        <v>614</v>
      </c>
      <c r="H51" s="16" t="str">
        <f aca="false">IFERROR(INDEX(Component_Map!$A$2:$A$42,MATCH(E51,Component_Map!$H$2:$H$42,0)),"UNMAPPED")</f>
        <v>CP-COMP-INST-02</v>
      </c>
      <c r="I51" s="16" t="str">
        <f aca="false">IFERROR(INDEX(Component_Map!$G$2:$G$42,MATCH(E51,Component_Map!$H$2:$H$42,0)),"UNMAPPED")</f>
        <v>Pressure Sensor / Transmitter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5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13" t="s">
        <v>629</v>
      </c>
      <c r="B1" s="13" t="s">
        <v>630</v>
      </c>
      <c r="C1" s="13" t="s">
        <v>631</v>
      </c>
      <c r="D1" s="13" t="s">
        <v>632</v>
      </c>
      <c r="E1" s="13" t="s">
        <v>633</v>
      </c>
      <c r="F1" s="13" t="s">
        <v>2</v>
      </c>
    </row>
    <row r="2" customFormat="false" ht="35.05" hidden="false" customHeight="false" outlineLevel="0" collapsed="false">
      <c r="A2" s="16" t="n">
        <v>1</v>
      </c>
      <c r="B2" s="16" t="s">
        <v>634</v>
      </c>
      <c r="C2" s="16" t="s">
        <v>635</v>
      </c>
      <c r="D2" s="16" t="s">
        <v>636</v>
      </c>
      <c r="E2" s="16" t="s">
        <v>637</v>
      </c>
      <c r="F2" s="16" t="s">
        <v>638</v>
      </c>
    </row>
    <row r="3" customFormat="false" ht="46.25" hidden="false" customHeight="false" outlineLevel="0" collapsed="false">
      <c r="A3" s="16" t="n">
        <v>2</v>
      </c>
      <c r="B3" s="16" t="s">
        <v>639</v>
      </c>
      <c r="C3" s="16" t="s">
        <v>640</v>
      </c>
      <c r="D3" s="16" t="s">
        <v>641</v>
      </c>
      <c r="E3" s="16" t="s">
        <v>642</v>
      </c>
      <c r="F3" s="16" t="s">
        <v>638</v>
      </c>
    </row>
    <row r="4" customFormat="false" ht="57.45" hidden="false" customHeight="false" outlineLevel="0" collapsed="false">
      <c r="A4" s="16" t="n">
        <v>3</v>
      </c>
      <c r="B4" s="16" t="s">
        <v>643</v>
      </c>
      <c r="C4" s="16" t="s">
        <v>644</v>
      </c>
      <c r="D4" s="16" t="s">
        <v>645</v>
      </c>
      <c r="E4" s="16" t="s">
        <v>646</v>
      </c>
      <c r="F4" s="16" t="s">
        <v>638</v>
      </c>
    </row>
    <row r="5" customFormat="false" ht="46.25" hidden="false" customHeight="false" outlineLevel="0" collapsed="false">
      <c r="A5" s="16" t="n">
        <v>4</v>
      </c>
      <c r="B5" s="16" t="s">
        <v>647</v>
      </c>
      <c r="C5" s="16" t="s">
        <v>648</v>
      </c>
      <c r="D5" s="16" t="s">
        <v>649</v>
      </c>
      <c r="E5" s="16" t="s">
        <v>642</v>
      </c>
      <c r="F5" s="16" t="s">
        <v>638</v>
      </c>
    </row>
    <row r="6" customFormat="false" ht="46.25" hidden="false" customHeight="false" outlineLevel="0" collapsed="false">
      <c r="A6" s="16" t="n">
        <v>5</v>
      </c>
      <c r="B6" s="16" t="s">
        <v>650</v>
      </c>
      <c r="C6" s="16" t="s">
        <v>651</v>
      </c>
      <c r="D6" s="16" t="s">
        <v>652</v>
      </c>
      <c r="E6" s="16" t="s">
        <v>653</v>
      </c>
      <c r="F6" s="16" t="s">
        <v>638</v>
      </c>
    </row>
    <row r="7" customFormat="false" ht="23.85" hidden="false" customHeight="false" outlineLevel="0" collapsed="false">
      <c r="A7" s="16" t="n">
        <v>6</v>
      </c>
      <c r="B7" s="16" t="s">
        <v>654</v>
      </c>
      <c r="C7" s="16" t="s">
        <v>655</v>
      </c>
      <c r="D7" s="16" t="s">
        <v>656</v>
      </c>
      <c r="E7" s="16" t="s">
        <v>657</v>
      </c>
      <c r="F7" s="16" t="s">
        <v>638</v>
      </c>
    </row>
    <row r="8" customFormat="false" ht="23.85" hidden="false" customHeight="false" outlineLevel="0" collapsed="false">
      <c r="A8" s="16" t="n">
        <v>7</v>
      </c>
      <c r="B8" s="16" t="s">
        <v>658</v>
      </c>
      <c r="C8" s="16" t="s">
        <v>659</v>
      </c>
      <c r="D8" s="16" t="s">
        <v>660</v>
      </c>
      <c r="E8" s="16" t="s">
        <v>661</v>
      </c>
      <c r="F8" s="16" t="s">
        <v>638</v>
      </c>
    </row>
    <row r="9" customFormat="false" ht="46.25" hidden="false" customHeight="false" outlineLevel="0" collapsed="false">
      <c r="A9" s="16" t="n">
        <v>8</v>
      </c>
      <c r="B9" s="16" t="s">
        <v>662</v>
      </c>
      <c r="C9" s="16" t="s">
        <v>663</v>
      </c>
      <c r="D9" s="16" t="s">
        <v>664</v>
      </c>
      <c r="E9" s="16" t="s">
        <v>665</v>
      </c>
      <c r="F9" s="16" t="s">
        <v>638</v>
      </c>
    </row>
    <row r="10" customFormat="false" ht="35.05" hidden="false" customHeight="false" outlineLevel="0" collapsed="false">
      <c r="A10" s="16" t="n">
        <v>9</v>
      </c>
      <c r="B10" s="16" t="s">
        <v>666</v>
      </c>
      <c r="C10" s="16" t="s">
        <v>667</v>
      </c>
      <c r="D10" s="16" t="s">
        <v>668</v>
      </c>
      <c r="E10" s="16" t="s">
        <v>669</v>
      </c>
      <c r="F10" s="16" t="s">
        <v>638</v>
      </c>
    </row>
    <row r="11" customFormat="false" ht="35.05" hidden="false" customHeight="false" outlineLevel="0" collapsed="false">
      <c r="A11" s="16" t="n">
        <v>10</v>
      </c>
      <c r="B11" s="16" t="s">
        <v>670</v>
      </c>
      <c r="C11" s="16" t="s">
        <v>671</v>
      </c>
      <c r="D11" s="16" t="s">
        <v>672</v>
      </c>
      <c r="E11" s="16" t="s">
        <v>665</v>
      </c>
      <c r="F11" s="16" t="s">
        <v>638</v>
      </c>
    </row>
    <row r="12" customFormat="false" ht="23.85" hidden="false" customHeight="false" outlineLevel="0" collapsed="false">
      <c r="A12" s="16" t="n">
        <v>11</v>
      </c>
      <c r="B12" s="16" t="s">
        <v>673</v>
      </c>
      <c r="C12" s="16" t="s">
        <v>674</v>
      </c>
      <c r="D12" s="16" t="s">
        <v>675</v>
      </c>
      <c r="E12" s="16" t="s">
        <v>661</v>
      </c>
      <c r="F12" s="16" t="s">
        <v>638</v>
      </c>
    </row>
    <row r="13" customFormat="false" ht="23.85" hidden="false" customHeight="false" outlineLevel="0" collapsed="false">
      <c r="A13" s="16" t="n">
        <v>12</v>
      </c>
      <c r="B13" s="16" t="s">
        <v>676</v>
      </c>
      <c r="C13" s="16" t="s">
        <v>677</v>
      </c>
      <c r="D13" s="16" t="s">
        <v>678</v>
      </c>
      <c r="E13" s="16" t="s">
        <v>637</v>
      </c>
      <c r="F13" s="16" t="s">
        <v>638</v>
      </c>
    </row>
  </sheetData>
  <autoFilter ref="A1:F1"/>
  <dataValidations count="1">
    <dataValidation allowBlank="false" errorStyle="stop" operator="between" showDropDown="false" showErrorMessage="false" showInputMessage="false" sqref="F2:F13" type="list">
      <formula1>"OPEN,DECIDED,DEFERRED"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2026-10-24T19:12:40Z</dcterms:created>
  <dc:creator>openpyxl</dc:creator>
  <dc:description/>
  <dc:language>en-US</dc:language>
  <cp:lastModifiedBy/>
  <dcterms:modified xsi:type="dcterms:W3CDTF">2026-10-24T19:12:40Z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