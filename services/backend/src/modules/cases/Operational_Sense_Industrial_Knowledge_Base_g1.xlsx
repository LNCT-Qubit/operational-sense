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0.xml.rels" ContentType="application/vnd.openxmlformats-package.relationships+xml"/>
  <Override PartName="/xl/worksheets/_rels/sheet11.xml.rels" ContentType="application/vnd.openxmlformats-package.relationships+xml"/>
  <Override PartName="/xl/worksheets/_rels/sheet5.xml.rels" ContentType="application/vnd.openxmlformats-package.relationships+xml"/>
  <Override PartName="/xl/worksheets/_rels/sheet17.xml.rels" ContentType="application/vnd.openxmlformats-package.relationships+xml"/>
  <Override PartName="/xl/worksheets/_rels/sheet16.xml.rels" ContentType="application/vnd.openxmlformats-package.relationships+xml"/>
  <Override PartName="/xl/worksheets/_rels/sheet15.xml.rels" ContentType="application/vnd.openxmlformats-package.relationships+xml"/>
  <Override PartName="/xl/worksheets/_rels/sheet9.xml.rels" ContentType="application/vnd.openxmlformats-package.relationships+xml"/>
  <Override PartName="/xl/worksheets/_rels/sheet2.xml.rels" ContentType="application/vnd.openxmlformats-package.relationships+xml"/>
  <Override PartName="/xl/worksheets/_rels/sheet3.xml.rels" ContentType="application/vnd.openxmlformats-package.relationships+xml"/>
  <Override PartName="/xl/worksheets/_rels/sheet12.xml.rels" ContentType="application/vnd.openxmlformats-package.relationships+xml"/>
  <Override PartName="/xl/worksheets/_rels/sheet6.xml.rels" ContentType="application/vnd.openxmlformats-package.relationships+xml"/>
  <Override PartName="/xl/worksheets/_rels/sheet13.xml.rels" ContentType="application/vnd.openxmlformats-package.relationships+xml"/>
  <Override PartName="/xl/worksheets/_rels/sheet8.xml.rels" ContentType="application/vnd.openxmlformats-package.relationships+xml"/>
  <Override PartName="/xl/worksheets/_rels/sheet14.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Override PartName="/xl/tables/table1.xml" ContentType="application/vnd.openxmlformats-officedocument.spreadsheetml.table+xml"/>
  <Override PartName="/xl/tables/table3.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4.xml" ContentType="application/vnd.openxmlformats-officedocument.spreadsheetml.table+xml"/>
  <Override PartName="/xl/tables/table13.xml" ContentType="application/vnd.openxmlformats-officedocument.spreadsheetml.table+xml"/>
  <Override PartName="/xl/tables/table6.xml" ContentType="application/vnd.openxmlformats-officedocument.spreadsheetml.table+xml"/>
  <Override PartName="/xl/tables/table8.xml" ContentType="application/vnd.openxmlformats-officedocument.spreadsheetml.table+xml"/>
  <Override PartName="/xl/tables/table12.xml" ContentType="application/vnd.openxmlformats-officedocument.spreadsheetml.table+xml"/>
  <Override PartName="/xl/tables/table5.xml" ContentType="application/vnd.openxmlformats-officedocument.spreadsheetml.table+xml"/>
  <Override PartName="/xl/tables/table9.xml" ContentType="application/vnd.openxmlformats-officedocument.spreadsheetml.table+xml"/>
  <Override PartName="/xl/tables/table2.xml" ContentType="application/vnd.openxmlformats-officedocument.spreadsheetml.table+xml"/>
  <Override PartName="/xl/tables/table7.xml" ContentType="application/vnd.openxmlformats-officedocument.spreadsheetml.table+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README" sheetId="1" state="visible" r:id="rId3"/>
    <sheet name="Troubleshooting_Cases" sheetId="2" state="visible" r:id="rId4"/>
    <sheet name="Import_View" sheetId="3" state="visible" r:id="rId5"/>
    <sheet name="Review_Actions" sheetId="4" state="visible" r:id="rId6"/>
    <sheet name="Diagnostic_Steps" sheetId="5" state="visible" r:id="rId7"/>
    <sheet name="Failure_Mode_Taxonomy" sheetId="6" state="visible" r:id="rId8"/>
    <sheet name="Taxonomy_Proposed" sheetId="7" state="visible" r:id="rId9"/>
    <sheet name="Taxonomy_FM_Vocabulary" sheetId="8" state="visible" r:id="rId10"/>
    <sheet name="Measurement_Reference" sheetId="9" state="visible" r:id="rId11"/>
    <sheet name="Equipment_Reference" sheetId="10" state="visible" r:id="rId12"/>
    <sheet name="Spare_Parts_Reference" sheetId="11" state="visible" r:id="rId13"/>
    <sheet name="Safety_Procedures" sheetId="12" state="visible" r:id="rId14"/>
    <sheet name="Verification_Records" sheetId="13" state="visible" r:id="rId15"/>
    <sheet name="Sources" sheetId="14" state="visible" r:id="rId16"/>
    <sheet name="Mapping_Validation" sheetId="15" state="visible" r:id="rId17"/>
    <sheet name="Change_Summary" sheetId="16" state="visible" r:id="rId18"/>
    <sheet name="Data_Quality_Report" sheetId="17" state="visible" r:id="rId19"/>
    <sheet name="Lists" sheetId="18" state="visible" r:id="rId20"/>
  </sheets>
  <definedNames>
    <definedName function="false" hidden="true" localSheetId="2" name="_xlnm._FilterDatabase" vbProcedure="false">Import_View!$A$1:$AY$51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<sst xmlns="http://schemas.openxmlformats.org/spreadsheetml/2006/main" count="14815" uniqueCount="3985">
  <si>
    <t xml:space="preserve">Operational Sense - Industrial Knowledge Base</t>
  </si>
  <si>
    <t xml:space="preserve">Team Qubit | EPAM CoE | Sprint 1 seed corpus | Prepared by Domain Research group (M01-M03)</t>
  </si>
  <si>
    <t xml:space="preserve">1. What this workbook is</t>
  </si>
  <si>
    <t xml:space="preserve">A seed corpus of 50 synthetic industrial troubleshooting cases (17 centrifugal pumps, 17 three-phase induction motors, 16 rotary screw air compressors) with supporting reference sheets. It supports sprint tasks OS-S1-01, 02, 04, 11 and 12 and feeds the database load (OS-S1-13) and the retrieval demo (OS-S1-15).</t>
  </si>
  <si>
    <t xml:space="preserve">IMPORTANT: every case is a synthetic scenario written as engineering interpretation. None comes from a real plant record, none has been confirmed by a practitioner, and equipment models are illustrative. Use for demo, schema and retrieval testing only. Similarity is not diagnosis.</t>
  </si>
  <si>
    <t xml:space="preserve">2. Sheet guide</t>
  </si>
  <si>
    <t xml:space="preserve">Sheet</t>
  </si>
  <si>
    <t xml:space="preserve">Purpose</t>
  </si>
  <si>
    <t xml:space="preserve">Use it for</t>
  </si>
  <si>
    <t xml:space="preserve">Review_Actions</t>
  </si>
  <si>
    <t xml:space="preserve">Fixes made and open issues with suggested owners.</t>
  </si>
  <si>
    <t xml:space="preserve">Check first</t>
  </si>
  <si>
    <t xml:space="preserve">Import_View</t>
  </si>
  <si>
    <t xml:space="preserve">Clean one-column-per-fact version of the 50 cases (51 columns, snake_case; gaps are NULL with flags).</t>
  </si>
  <si>
    <t xml:space="preserve">Database load, embedding text, tests (M05, M07-M11)</t>
  </si>
  <si>
    <t xml:space="preserve">Troubleshooting_Cases</t>
  </si>
  <si>
    <t xml:space="preserve">Original 65-column master with all original columns kept.</t>
  </si>
  <si>
    <t xml:space="preserve">Archive and domain review; do not load directly</t>
  </si>
  <si>
    <t xml:space="preserve">Diagnostic_Steps</t>
  </si>
  <si>
    <t xml:space="preserve">Step-by-step check sequence per case (350 rows).</t>
  </si>
  <si>
    <t xml:space="preserve">TroubleshootingStep data</t>
  </si>
  <si>
    <t xml:space="preserve">Failure_Mode_Taxonomy</t>
  </si>
  <si>
    <t xml:space="preserve">FMEA-style taxonomy codes by class, subsystem, component and failure mode.</t>
  </si>
  <si>
    <t xml:space="preserve">Hard-filter taxonomy; asset hierarchy input</t>
  </si>
  <si>
    <t xml:space="preserve">Taxonomy_Proposed</t>
  </si>
  <si>
    <t xml:space="preserve">Draft taxonomy rows for the 11 cases with no taxonomy entry. PROPOSED only; not approved, not linked to cases.</t>
  </si>
  <si>
    <t xml:space="preserve">Review by M01/M02 before adding to Failure_Mode_Taxonomy</t>
  </si>
  <si>
    <t xml:space="preserve">Taxonomy_FM_Vocabulary</t>
  </si>
  <si>
    <t xml:space="preserve">Project-local failure-mode IDs (FM-xxx) and labels. Not ISO 14224 codes. Pending domain review.</t>
  </si>
  <si>
    <t xml:space="preserve">Lookup table once finalised</t>
  </si>
  <si>
    <t xml:space="preserve">Equipment_Reference</t>
  </si>
  <si>
    <t xml:space="preserve">Equipment class and model reference.</t>
  </si>
  <si>
    <t xml:space="preserve">Asset metadata</t>
  </si>
  <si>
    <t xml:space="preserve">Measurement_Reference</t>
  </si>
  <si>
    <t xml:space="preserve">Measurement types and reference policy. No universal thresholds; OEM or site baseline required.</t>
  </si>
  <si>
    <t xml:space="preserve">Tier 2 checks</t>
  </si>
  <si>
    <t xml:space="preserve">Spare_Parts_Reference</t>
  </si>
  <si>
    <t xml:space="preserve">Parts referenced by Tier 3 actions.</t>
  </si>
  <si>
    <t xml:space="preserve">Reference only</t>
  </si>
  <si>
    <t xml:space="preserve">Safety_Procedures</t>
  </si>
  <si>
    <t xml:space="preserve">Safety and LOTO procedures.</t>
  </si>
  <si>
    <t xml:space="preserve">Tier 3 gating</t>
  </si>
  <si>
    <t xml:space="preserve">Verification_Records</t>
  </si>
  <si>
    <t xml:space="preserve">Per-case verification record (all pending).</t>
  </si>
  <si>
    <t xml:space="preserve">Verification workflow seed data</t>
  </si>
  <si>
    <t xml:space="preserve">Sources</t>
  </si>
  <si>
    <t xml:space="preserve">Source list used for the scenarios. Links not yet validated.</t>
  </si>
  <si>
    <t xml:space="preserve">Citations; verify before presenting</t>
  </si>
  <si>
    <t xml:space="preserve">Mapping_Validation</t>
  </si>
  <si>
    <t xml:space="preserve">Mapping checks between cases, taxonomy and vocabulary.</t>
  </si>
  <si>
    <t xml:space="preserve">Mapping review</t>
  </si>
  <si>
    <t xml:space="preserve">Change_Summary</t>
  </si>
  <si>
    <t xml:space="preserve">Change history.</t>
  </si>
  <si>
    <t xml:space="preserve">Audit trail</t>
  </si>
  <si>
    <t xml:space="preserve">Data_Quality_Report</t>
  </si>
  <si>
    <t xml:space="preserve">Live formula checks over the cases (PASS / WARN / FAIL).</t>
  </si>
  <si>
    <t xml:space="preserve">Re-run after any edit (recalculates automatically)</t>
  </si>
  <si>
    <t xml:space="preserve">Lists</t>
  </si>
  <si>
    <t xml:space="preserve">Allowed values for dropdowns.</t>
  </si>
  <si>
    <t xml:space="preserve">Data validation</t>
  </si>
  <si>
    <t xml:space="preserve">3. Key concepts</t>
  </si>
  <si>
    <t xml:space="preserve">Term</t>
  </si>
  <si>
    <t xml:space="preserve">Meaning</t>
  </si>
  <si>
    <t xml:space="preserve">Tier 1</t>
  </si>
  <si>
    <t xml:space="preserve">Zero-risk visual and sensory checks (oil sight glass, bolt tightness, leaks).</t>
  </si>
  <si>
    <t xml:space="preserve">Tier 2</t>
  </si>
  <si>
    <t xml:space="preserve">Non-invasive measurement (infrared temperature, vibration pen, current clamp).</t>
  </si>
  <si>
    <t xml:space="preserve">Tier 3</t>
  </si>
  <si>
    <t xml:space="preserve">Intrusive corrective action. Always needs LOTO and supervisor approval.</t>
  </si>
  <si>
    <t xml:space="preserve">Source Reliability D</t>
  </si>
  <si>
    <t xml:space="preserve">Engineering interpretation only; lowest grade. No field record and no OEM manual consulted.</t>
  </si>
  <si>
    <t xml:space="preserve">Verification Status</t>
  </si>
  <si>
    <t xml:space="preserve">PENDING_VALIDATION for all 50 cases. No case is VERIFIED because no reviewer sign-off exists.</t>
  </si>
  <si>
    <t xml:space="preserve">retrieval_eligibility</t>
  </si>
  <si>
    <t xml:space="preserve">demo_only_until_expert_review in Import_View. Change per case only after a practitioner signs off.</t>
  </si>
  <si>
    <t xml:space="preserve">Mapping Status</t>
  </si>
  <si>
    <t xml:space="preserve">MAPPED (provisional), AMBIGUOUS (expert review) or FM-ID ONLY (taxonomy gap).</t>
  </si>
  <si>
    <t xml:space="preserve">4. How to use it</t>
  </si>
  <si>
    <t xml:space="preserve">Loading the database (M05, M09, M11): load Import_View, not Troubleshooting_Cases. Use case_id as the key; equipment_class_id, taxonomy_code and fm_id_vocab map to the hierarchy and lookup tables.</t>
  </si>
  <si>
    <t xml:space="preserve">Embedding (M07, M08): embed symptom_reported_hinglish, symptom_structured, operating_status and symptom_frequency. Keep IDs, class, taxonomy code and status as structured filters (OS-S1-10 contract).</t>
  </si>
  <si>
    <t xml:space="preserve">Retrieval: filter by equipment_class_id and subsystem first, then run vector similarity within that set. Show results as resemblance to past cases, never as a diagnosis or probability.</t>
  </si>
  <si>
    <t xml:space="preserve">Editing: change data in Troubleshooting_Cases, then update Import_View to match, and check Data_Quality_Report. Log changes in Change_Summary.</t>
  </si>
  <si>
    <t xml:space="preserve">5. Known limitations</t>
  </si>
  <si>
    <t xml:space="preserve">- NULL handling: in Import_View a blank taxonomy_code or fm_id_vocab means a known gap (see taxonomy_gap / vocab_gap flags). Load as NULL; do not treat as an error and do not invent values.</t>
  </si>
  <si>
    <t xml:space="preserve">- Failure-mode vocabulary unsettled: 14 ambiguous mappings, 11 taxonomy gaps, 1 vocabulary gap; FM-IDs are project-local and some are symptoms.</t>
  </si>
  <si>
    <t xml:space="preserve">- Depth is uneven: 15 cases flagged needs_depth_expansion in Import_View (mostly compressor cases).</t>
  </si>
  <si>
    <t xml:space="preserve">- No numerical thresholds are given; OEM specification or approved site baseline is required.</t>
  </si>
  <si>
    <t xml:space="preserve">- Sources and URLs have not been validated.</t>
  </si>
  <si>
    <t xml:space="preserve">- Equipment models are illustrative and do not represent documented plant configurations.</t>
  </si>
  <si>
    <t xml:space="preserve">6. Change history</t>
  </si>
  <si>
    <t xml:space="preserve">Latest changes (October 2026): GAP text converted to NULL in Import_View with flags; Taxonomy_Proposed added (draft, not approved); Review_Actions extended. Earlier: Case Origin corrected to Synthetic Scenario; Import_View, Review_Actions and README added; quality report recalculated. The corpus has 50 cases: 34 from the original seed set and 16 added later.</t>
  </si>
  <si>
    <t xml:space="preserve">Case ID</t>
  </si>
  <si>
    <t xml:space="preserve">Plant / Facility</t>
  </si>
  <si>
    <t xml:space="preserve">Production Line</t>
  </si>
  <si>
    <t xml:space="preserve">Equipment Class</t>
  </si>
  <si>
    <t xml:space="preserve">Equipment Model</t>
  </si>
  <si>
    <t xml:space="preserve">Subsystem / Assembly</t>
  </si>
  <si>
    <t xml:space="preserve">Technician-Reported Symptom</t>
  </si>
  <si>
    <t xml:space="preserve">Mapped Failure Mode [original value]</t>
  </si>
  <si>
    <t xml:space="preserve">Confirmed Cause (original label - unconfirmed; see Primary Suspected Cause)</t>
  </si>
  <si>
    <t xml:space="preserve">Failure Effect</t>
  </si>
  <si>
    <t xml:space="preserve">Tier 1 Safety &amp; Visual Checks</t>
  </si>
  <si>
    <t xml:space="preserve">Tier 2 Non-Invasive Measurements</t>
  </si>
  <si>
    <t xml:space="preserve">Tier 3 Corrective Action</t>
  </si>
  <si>
    <t xml:space="preserve">Outcome / Verification Status</t>
  </si>
  <si>
    <t xml:space="preserve">Source / Reference</t>
  </si>
  <si>
    <t xml:space="preserve">Equipment Class ID</t>
  </si>
  <si>
    <t xml:space="preserve">Failure Mode ID (project) [original value]</t>
  </si>
  <si>
    <t xml:space="preserve">Source Case ID</t>
  </si>
  <si>
    <t xml:space="preserve">Mapping Note</t>
  </si>
  <si>
    <t xml:space="preserve">Carried Over From Original Seed (Yes/No)</t>
  </si>
  <si>
    <t xml:space="preserve">Case Origin</t>
  </si>
  <si>
    <t xml:space="preserve">Evidence Type</t>
  </si>
  <si>
    <t xml:space="preserve">Symptom Category</t>
  </si>
  <si>
    <t xml:space="preserve">Technician Symptom - Detailed (Hinglish)</t>
  </si>
  <si>
    <t xml:space="preserve">Structured Symptom Description</t>
  </si>
  <si>
    <t xml:space="preserve">Operating Status / Load Condition</t>
  </si>
  <si>
    <t xml:space="preserve">Symptom Frequency / Duration</t>
  </si>
  <si>
    <t xml:space="preserve">Severity (proposed, unreviewed)</t>
  </si>
  <si>
    <t xml:space="preserve">Equipment Class (taxonomy)</t>
  </si>
  <si>
    <t xml:space="preserve">Equipment Class ID (taxonomy)</t>
  </si>
  <si>
    <t xml:space="preserve">Subsystem (taxonomy)</t>
  </si>
  <si>
    <t xml:space="preserve">Component (taxonomy)</t>
  </si>
  <si>
    <t xml:space="preserve">Taxonomy Code</t>
  </si>
  <si>
    <t xml:space="preserve">Taxonomy Failure Mode (exact)</t>
  </si>
  <si>
    <t xml:space="preserve">Failure Mode ID (vocabulary)</t>
  </si>
  <si>
    <t xml:space="preserve">Failure Mode Label (vocabulary)</t>
  </si>
  <si>
    <t xml:space="preserve">Equipment Model (verified status)</t>
  </si>
  <si>
    <t xml:space="preserve">Operating Environment / Facility (fictional)</t>
  </si>
  <si>
    <t xml:space="preserve">Primary Suspected Cause</t>
  </si>
  <si>
    <t xml:space="preserve">Alternative Causes</t>
  </si>
  <si>
    <t xml:space="preserve">Failure Mechanism</t>
  </si>
  <si>
    <t xml:space="preserve">Failure Effect - Component / Equipment / Operational / If Unresolved</t>
  </si>
  <si>
    <t xml:space="preserve">Tier 1 Checks (detailed)</t>
  </si>
  <si>
    <t xml:space="preserve">Tier 1 Safety Precautions</t>
  </si>
  <si>
    <t xml:space="preserve">Tier 2 Measurements (detailed)</t>
  </si>
  <si>
    <t xml:space="preserve">Reference Value Policy</t>
  </si>
  <si>
    <t xml:space="preserve">Actual Measurement</t>
  </si>
  <si>
    <t xml:space="preserve">Measurement Evidence</t>
  </si>
  <si>
    <t xml:space="preserve">Differential Diagnosis</t>
  </si>
  <si>
    <t xml:space="preserve">Tier 3 Corrective Action Details</t>
  </si>
  <si>
    <t xml:space="preserve">Required Spare Parts</t>
  </si>
  <si>
    <t xml:space="preserve">LOTO Requirement</t>
  </si>
  <si>
    <t xml:space="preserve">Supervisor Approval Required</t>
  </si>
  <si>
    <t xml:space="preserve">Post-Repair Verification</t>
  </si>
  <si>
    <t xml:space="preserve">Acceptance Criteria</t>
  </si>
  <si>
    <t xml:space="preserve">Preventive Maintenance / Recurrence Prevention</t>
  </si>
  <si>
    <t xml:space="preserve">Early Warning Indicators</t>
  </si>
  <si>
    <t xml:space="preserve">Source Reliability</t>
  </si>
  <si>
    <t xml:space="preserve">Source Reference IDs</t>
  </si>
  <si>
    <t xml:space="preserve">Root Cause Confirmation Method</t>
  </si>
  <si>
    <t xml:space="preserve">Supervisor Review Status</t>
  </si>
  <si>
    <t xml:space="preserve">Validation Notes</t>
  </si>
  <si>
    <t xml:space="preserve">CASE-PUMP-001</t>
  </si>
  <si>
    <t xml:space="preserve">Utility Plant C</t>
  </si>
  <si>
    <t xml:space="preserve">Cooling Water Circuit</t>
  </si>
  <si>
    <t xml:space="preserve">Centrifugal Pump</t>
  </si>
  <si>
    <t xml:space="preserve">Kirloskar DB-100</t>
  </si>
  <si>
    <t xml:space="preserve">Bearing Assembly</t>
  </si>
  <si>
    <t xml:space="preserve">Pump se zyada shor aur vibration aa raha hai, bearing side garam hai</t>
  </si>
  <si>
    <t xml:space="preserve">Bearing Wear</t>
  </si>
  <si>
    <t xml:space="preserve">Grease contaminated with water/dust; DE bearing spalled</t>
  </si>
  <si>
    <t xml:space="preserve">Rising vibration; risk of seizure and unplanned stoppage of cooling water</t>
  </si>
  <si>
    <t xml:space="preserve">Check bearing housing for grease leakage/discoloured grease; confirm coupling guard and bolts tight; listen for grinding noise from a safe distance; confirm area is clear of loose items.</t>
  </si>
  <si>
    <t xml:space="preserve">Handheld IR: bearing housing temperature vs. baseline; vibration pen: velocity (mm/s) on DE/NDE bearing housings; compare with last log.</t>
  </si>
  <si>
    <t xml:space="preserve">With LOTO and supervisor approval: replace both bearings, clean housing, regrease with specified grade, re-align coupling, re-test run.</t>
  </si>
  <si>
    <t xml:space="preserve">Seed - Pending Supervisor Verification</t>
  </si>
  <si>
    <t xml:space="preserve">Heinz P. Bloch Pump User's Handbook / ISO 14224:2016</t>
  </si>
  <si>
    <t xml:space="preserve">EQ-PUMP</t>
  </si>
  <si>
    <t xml:space="preserve">Proposed - not in draft vocabulary</t>
  </si>
  <si>
    <t xml:space="preserve">N/A (G1 seed)</t>
  </si>
  <si>
    <t xml:space="preserve">G1 seed case, written in the technician's colloquial style. IDs mapped provisionally to the draft taxonomy.</t>
  </si>
  <si>
    <t xml:space="preserve">Yes</t>
  </si>
  <si>
    <t xml:space="preserve">Synthetic Scenario</t>
  </si>
  <si>
    <t xml:space="preserve">Engineering interpretation (no field record; no OEM manual consulted)</t>
  </si>
  <si>
    <t xml:space="preserve">Noise/Vibration/Temperature</t>
  </si>
  <si>
    <t xml:space="preserve">Pump start hone ke 20-25 min baad drive-end bearing housing ke paas ghurr-ghurr awaaz aati hai aur vibration badh jaati hai. Bearing side haath se (door se, safe hone par) normal se zyada garam lagti hai. Discharge pressure normal hai. Pichle mahine barish ke baad pump house me paani aaya tha.</t>
  </si>
  <si>
    <t xml:space="preserve">Progressive DE-bearing noise, vibration and temperature rise after ~20-25 min run; hydraulic performance normal; recent water/dust exposure of bearing housing.</t>
  </si>
  <si>
    <t xml:space="preserve">Running, normal duty point (illustrative; no recorded readings)</t>
  </si>
  <si>
    <t xml:space="preserve">Continuous after warm-up; worsening over days (illustrative)</t>
  </si>
  <si>
    <t xml:space="preserve">Medium-High</t>
  </si>
  <si>
    <t xml:space="preserve">Rolling Element Bearing</t>
  </si>
  <si>
    <t xml:space="preserve">PUMP.BRNG.ROLL</t>
  </si>
  <si>
    <t xml:space="preserve">GAP - no vocabulary entry</t>
  </si>
  <si>
    <t xml:space="preserve">AMBIGUOUS - expert review</t>
  </si>
  <si>
    <t xml:space="preserve">Vocabulary has no FM-ID for this failure mode; FM-ID left as gap, not invented. Taxonomy has no single-event FM-ID for bearing wear (FM-019 is recurrent failures).</t>
  </si>
  <si>
    <t xml:space="preserve">Grease contaminated by water/dust leading to spalling of DE bearing raceway (suspected, unconfirmed).</t>
  </si>
  <si>
    <t xml:space="preserve">Misalignment; over/under-greasing; cavitation; looseness; bearing housing seal failure.</t>
  </si>
  <si>
    <t xml:space="preserve">Contaminant breaks lubricant film; metal-to-metal contact causes surface fatigue, spalling and rising friction heat.</t>
  </si>
  <si>
    <t xml:space="preserve">Component: bearing clearance grows, heat rises. Equipment: shaft deflection damages seal; seizure risk. Operational: unplanned stop of cooling duty. If ignored: seizure, shaft/seal damage.</t>
  </si>
  <si>
    <t xml:space="preserve">1. Grease/oil leakage or discoloured grease at housing -&gt; contamination or lubrication loss; absence does not rule out internal wear. A negative finding does not rule this cause out.
2. Water marks, rust or dust ingress around housing -&gt; ingress path to bearing. A negative finding does not rule this cause out.
3. Unusual noise heard from safe distance -&gt; rolling-element damage indicated; not specific to bearing without Tier 2. A negative finding does not rule this cause out.</t>
  </si>
  <si>
    <t xml:space="preserve">Observe from a safe distance; do not touch rotating shafts/couplings or hot surfaces; keep guards fitted; treat leaking fluid per its safety data sheet; Tier 3 only after LOTO and supervisor approval.</t>
  </si>
  <si>
    <t xml:space="preserve">1. Bearing housing vibration velocity/acceleration (spectrum) | Instrument: Vibration analyser/accelerometer | Location: DE housing radial &amp; axial | Unit: mm/s or g (per instrument/standard) | Interpretation: bearing-defect frequencies and raised high-frequency noise point to bearing; compare to ISO 20816 method and site baseline
2. Bearing housing surface temperature | Instrument: IR thermometer (non-contact) | Location: DE housing | Unit: °C | Interpretation: trend vs baseline and vs NDE; OEM limit required
3. Motor current (qualified person) | Instrument: Clamp meter | Location: Starter output | Unit: A | Interpretation: normal current supports non-hydraulic cause</t>
  </si>
  <si>
    <t xml:space="preserve">OEM specification or approved site baseline required - no universal threshold given (model-specific verification required)</t>
  </si>
  <si>
    <t xml:space="preserve">None - synthetic scenario; no field reading exists</t>
  </si>
  <si>
    <t xml:space="preserve">None</t>
  </si>
  <si>
    <t xml:space="preserve">Misalignment: 2x running-speed and axial vibration; Cavitation: broadband high-frequency noise varying with suction conditions; Looseness: harmonics, phase differences; Seal failure: leakage visible. Diagnosis remains inconclusive if Tier 2 results lie within OEM/site baseline or point equally to two causes; then escalate to supervisor/OEM.</t>
  </si>
  <si>
    <t xml:space="preserve">Isolate (LOTO), drain/depressurise, remove coupling guard and coupling, replace DE bearing set, inspect shaft journal/housing fits, clean housing, refill with OEM-specified lubricant, re-align, reinstall guard. Requires supervisor approval and LOTO before work. Tools/expertise: qualified maintenance technician with OEM procedure.</t>
  </si>
  <si>
    <t xml:space="preserve">Rolling element bearing set; bearing housing lip seals/isolators; lubricant per OEM; gaskets as required (part numbers/compatibility must come from OEM parts list)</t>
  </si>
  <si>
    <t xml:space="preserve">Yes - mandatory before any Tier 3 work</t>
  </si>
  <si>
    <t xml:space="preserve">Yes - mandatory for all Tier 3 actions</t>
  </si>
  <si>
    <t xml:space="preserve">Repeat the same Tier 2 measurements after repair; confirm original symptom absent; controlled restart under supervision; monitor for recurrence.</t>
  </si>
  <si>
    <t xml:space="preserve">Readings within OEM specification or approved site baseline (source: OEM manual / site standard - not stated in this workbook).</t>
  </si>
  <si>
    <t xml:space="preserve">Correct lubricant type/quantity; protect housing from water; condition monitoring (vibration, temperature); relubrication interval per OEM. Intervals: per OEM; none invented here.</t>
  </si>
  <si>
    <t xml:space="preserve">Rising temperature trend; high-frequency vibration; grease discolouration.</t>
  </si>
  <si>
    <t xml:space="preserve">D</t>
  </si>
  <si>
    <t xml:space="preserve">S14; S01; S02; S03; S04; S05; S10</t>
  </si>
  <si>
    <t xml:space="preserve">None - hypothesis only (not confirmed)</t>
  </si>
  <si>
    <t xml:space="preserve">PENDING_VALIDATION</t>
  </si>
  <si>
    <t xml:space="preserve">Not reviewed</t>
  </si>
  <si>
    <t xml:space="preserve">Synthetic scenario. Original seed/imported record retained and extended. Requires qualified reviewer before any use in retrieval.</t>
  </si>
  <si>
    <t xml:space="preserve">CASE-PUMP-002</t>
  </si>
  <si>
    <t xml:space="preserve">Utility Plant B</t>
  </si>
  <si>
    <t xml:space="preserve">Chemical Dosing Line</t>
  </si>
  <si>
    <t xml:space="preserve">KSB MegaCPK</t>
  </si>
  <si>
    <t xml:space="preserve">Mechanical Seal</t>
  </si>
  <si>
    <t xml:space="preserve">Pump ke shaft ke paas se paani tapak raha hai, floor geela ho gaya</t>
  </si>
  <si>
    <t xml:space="preserve">Seal Face Leakage</t>
  </si>
  <si>
    <t xml:space="preserve">Worn seal faces after dry running at start-up</t>
  </si>
  <si>
    <t xml:space="preserve">Water loss, wet baseplate, risk of bearing contamination</t>
  </si>
  <si>
    <t xml:space="preserve">Look for leak at gland/seal area (drip rate, spray or steady stream); confirm pump suction valve open and casing primed; check for slip/electrical hazards from wet floor.</t>
  </si>
  <si>
    <t xml:space="preserve">Handheld IR: seal chamber/gland housing temperature; vibration pen at bearing housing to rule out shaft deflection.</t>
  </si>
  <si>
    <t xml:space="preserve">With LOTO and supervisor approval: isolate, drain and replace mechanical seal set; check shaft sleeve runout; reprime and test.</t>
  </si>
  <si>
    <t xml:space="preserve">ISO 14224:2016 / Heinz P. Bloch Pump User's Handbook Ch. 6</t>
  </si>
  <si>
    <t xml:space="preserve">FM-032</t>
  </si>
  <si>
    <t xml:space="preserve">Leakage</t>
  </si>
  <si>
    <t xml:space="preserve">Pump chalu karne ke baad shaft ke paas se paani tapakna shuru hua, ab har kuch second me boondh gir rahi hai aur baseplate geeli ho gayi. Pump pichle hafte tank khali hone par kuch der dry chala tha. Awaaz normal hai, pressure thoda kam hai.</t>
  </si>
  <si>
    <t xml:space="preserve">Leakage at seal/gland area, drip rate increasing; history of start-up/dry-run event; pressure slightly reduced.</t>
  </si>
  <si>
    <t xml:space="preserve">Running (illustrative; no recorded readings)</t>
  </si>
  <si>
    <t xml:space="preserve">Continuous since start-up (illustrative)</t>
  </si>
  <si>
    <t xml:space="preserve">Medium</t>
  </si>
  <si>
    <t xml:space="preserve">Seal Faces (Rotating / Stationary)</t>
  </si>
  <si>
    <t xml:space="preserve">PUMP.SEAL.FACE</t>
  </si>
  <si>
    <t xml:space="preserve">Mechanical seal leakage</t>
  </si>
  <si>
    <t xml:space="preserve">MAPPED - cross-link provisional</t>
  </si>
  <si>
    <t xml:space="preserve">FMEA_Taxonomy code and vocabulary FM-ID are linked by case-level judgement (no official join table).</t>
  </si>
  <si>
    <t xml:space="preserve">Seal faces worn/damaged by dry running at start-up (suspected, unconfirmed).</t>
  </si>
  <si>
    <t xml:space="preserve">Elastomer damage; shaft deflection; flush-line fault; wrong seal installation; pressure/temperature beyond seal rating.</t>
  </si>
  <si>
    <t xml:space="preserve">Without fluid film, lapped faces overheat, crack or wear, so face contact is lost and fluid escapes.</t>
  </si>
  <si>
    <t xml:space="preserve">Component: face wear and leakage. Equipment: product loss, wet baseplate, bearing contamination. Operational: housekeeping hazard, stop for repair. If ignored: bearing failure, environmental release.</t>
  </si>
  <si>
    <t xml:space="preserve">1. Leak location (gland, flange, sleeve) and rate -&gt; identifies seal vs joint leak. A negative finding does not rule this cause out.
2. Fluid colour/smell and slip hazards -&gt; product type and hazard awareness. A negative finding does not rule this cause out.
3. Flush/quench line condition visible -&gt; blocked or missing flush supports seal-environment cause. A negative finding does not rule this cause out.</t>
  </si>
  <si>
    <t xml:space="preserve">1. Seal chamber/gland housing surface temperature | Instrument: IR thermometer | Location: Seal housing | Unit: °C | Interpretation: elevated vs baseline suggests face contact/dry running
2. Suction and discharge pressure | Instrument: Calibrated gauges | Location: Taps | Unit: bar or kPa (per gauge) | Interpretation: confirms operation within OEM seal pressure rating
3. Seal flush pressure/flow | Instrument: Gauge/flow indicator | Location: Flush line | Unit: bar or kPa (per gauge) | Interpretation: low flow suggests flush fault</t>
  </si>
  <si>
    <t xml:space="preserve">Bearing/shaft deflection: vibration rise; Elastomer leak: leakage between sleeve and seal; Gland packing leak: adjustable and different drip pattern. Diagnosis remains inconclusive if Tier 2 results lie within OEM/site baseline or point equally to two causes; then escalate to supervisor/OEM.</t>
  </si>
  <si>
    <t xml:space="preserve">With supervisor approval and LOTO: isolate, depressurise, drain; remove seal; inspect shaft sleeve and faces; fit new seal per OEM/API 682 practice; restore flush; prove no leakage under controlled start. Requires supervisor approval and LOTO before work. Tools/expertise: qualified maintenance technician with OEM procedure.</t>
  </si>
  <si>
    <t xml:space="preserve">Mechanical seal cartridge or face set; elastomers/O-rings; shaft sleeve; gaskets (part numbers/compatibility must come from OEM parts list)</t>
  </si>
  <si>
    <t xml:space="preserve">Prime/vent before start; dry-run protection; maintain flush plan; OEM seal selection for fluid. Intervals: per OEM; none invented here.</t>
  </si>
  <si>
    <t xml:space="preserve">Increasing drip rate; seal-housing temperature rise; crystallised product.</t>
  </si>
  <si>
    <t xml:space="preserve">S14; S01; S02; S06; S10</t>
  </si>
  <si>
    <t xml:space="preserve">CASE-PUMP-003</t>
  </si>
  <si>
    <t xml:space="preserve">Grundfos CR-32</t>
  </si>
  <si>
    <t xml:space="preserve">Bearing assembly and shaft</t>
  </si>
  <si>
    <t xml:space="preserve">Abnormal vibration; unusual noise; elevated bearing temperature</t>
  </si>
  <si>
    <t xml:space="preserve">Excessive vibration</t>
  </si>
  <si>
    <t xml:space="preserve">Shaft misalignment (illustrative - unverified)</t>
  </si>
  <si>
    <t xml:space="preserve">Not established in source</t>
  </si>
  <si>
    <t xml:space="preserve">Isolate and lock out equipment before mechanical inspection</t>
  </si>
  <si>
    <t xml:space="preserve">Review vibration trends; inspect mounting and coupling; assess alignment and bearing condition</t>
  </si>
  <si>
    <t xml:space="preserve">Correct shaft alignment according to the OEM procedure</t>
  </si>
  <si>
    <t xml:space="preserve">Synthetic - pending expert validation. Source verification step: Repeat vibration measurements and compare with the applicable baseline</t>
  </si>
  <si>
    <t xml:space="preserve">Hydraulic Institute Standards ANSI/HI 9.6.3 Minimum Continuous Flow</t>
  </si>
  <si>
    <t xml:space="preserve">FM-018</t>
  </si>
  <si>
    <t xml:space="preserve">OS-001</t>
  </si>
  <si>
    <t xml:space="preserve">Imported from shared draft. Tiers auto-mapped (safety precautions -&gt; Tier 1, diagnostic steps -&gt; Tier 2, corrective action -&gt; Tier 3); SME to re-tier, as some diagnostic steps may be intrusive. Root cause is 'illustrative_unverified' in source, not confirmed. Symptom text is formal; colloquial rewrite pending. Plant, line, model and failure effect were not specified in source.</t>
  </si>
  <si>
    <t xml:space="preserve">Noise/Vibration</t>
  </si>
  <si>
    <t xml:space="preserve">Motor badalne ke baad se pump me vibration zyada hai, khaaskar coupling ke paas. Halki thak-thak awaaz aati hai aur bearing garam hoti hai. Flow aur pressure normal hain, lekin vibration load badhne par aur noticeable hota hai.</t>
  </si>
  <si>
    <t xml:space="preserve">Vibration at coupling end rising since motor replacement; elevated bearing temperature; hydraulic parameters normal.</t>
  </si>
  <si>
    <t xml:space="preserve">Running, load-sensitive (illustrative; no recorded readings)</t>
  </si>
  <si>
    <t xml:space="preserve">Continuous, since motor change (illustrative)</t>
  </si>
  <si>
    <t xml:space="preserve">Drive Train</t>
  </si>
  <si>
    <t xml:space="preserve">Flexible Coupling</t>
  </si>
  <si>
    <t xml:space="preserve">PUMP.DRVT.CPLG</t>
  </si>
  <si>
    <t xml:space="preserve">Coupling Misalignment</t>
  </si>
  <si>
    <t xml:space="preserve">Angular/parallel shaft misalignment after motor replacement (suspected, unconfirmed).</t>
  </si>
  <si>
    <t xml:space="preserve">Soft foot; pipe strain; coupling element wear; bearing damage; impeller imbalance.</t>
  </si>
  <si>
    <t xml:space="preserve">Misalignment imposes cyclic radial/axial loads each revolution, raising vibration and bearing/seal stress.</t>
  </si>
  <si>
    <t xml:space="preserve">Component: coupling and bearings overloaded. Equipment: seal and bearing life reduced. Operational: rising vibration, potential trip. If ignored: premature failure of bearings, seal, coupling.</t>
  </si>
  <si>
    <t xml:space="preserve">1. Coupling guard condition and visible gaps -&gt; asymmetric gaps hint at misalignment; do not remove guard. A negative finding does not rule this cause out.
2. Foot/baseplate bolts and shims visible -&gt; missing or loose hardware. A negative finding does not rule this cause out.
3. Pipe connections visibly pulling on casing -&gt; pipe-strain source. A negative finding does not rule this cause out.</t>
  </si>
  <si>
    <t xml:space="preserve">1. Vibration spectrum (1x, 2x, axial) | Instrument: Vibration analyser | Location: Bearing housings both machines | Unit: mm/s or g (per instrument/standard) | Interpretation: strong 1x/2x and axial vibration support misalignment
2. Bearing housing temperature | Instrument: IR thermometer | Location: Both machines | Unit: °C | Interpretation: compare against baseline
3. Laser/dial alignment (after approved isolation - see Tier 3) | Instrument: Laser/dial alignment tool (after approved isolation) | Location: Per OEM / site procedure (measurement point to be marked on equipment) | Unit: Per instrument | Interpretation: determines offset</t>
  </si>
  <si>
    <t xml:space="preserve">Bearing defect: high-frequency content; Imbalance: 1x radial, no axial; Cavitation: broadband and pressure fluctuation. Diagnosis remains inconclusive if Tier 2 results lie within OEM/site baseline or point equally to two causes; then escalate to supervisor/OEM.</t>
  </si>
  <si>
    <t xml:space="preserve">LOTO and supervisor approval: isolate, remove guard, check soft foot, correct alignment with laser/dial indicator to OEM tolerance, recheck pipe strain, refit guard, verify vibration. Requires supervisor approval and LOTO before work. Tools/expertise: qualified maintenance technician with OEM procedure.</t>
  </si>
  <si>
    <t xml:space="preserve">Shims; coupling element if worn; foundation bolt set (part numbers/compatibility must come from OEM parts list)</t>
  </si>
  <si>
    <t xml:space="preserve">Alignment check after every drive removal; soft-foot check; pipe support. Intervals: per OEM; none invented here.</t>
  </si>
  <si>
    <t xml:space="preserve">Rising 1x/2x amplitude; coupling-end heat; coupling dust.</t>
  </si>
  <si>
    <t xml:space="preserve">CASE-PUMP-004</t>
  </si>
  <si>
    <t xml:space="preserve">Impeller and suction line</t>
  </si>
  <si>
    <t xml:space="preserve">Reduced discharge pressure; inadequate fluid delivery</t>
  </si>
  <si>
    <t xml:space="preserve">Low discharge pressure</t>
  </si>
  <si>
    <t xml:space="preserve">Partially blocked suction strainer (illustrative - unverified)</t>
  </si>
  <si>
    <t xml:space="preserve">Follow fluid isolation and pressure-release procedures</t>
  </si>
  <si>
    <t xml:space="preserve">Review suction pressure; inspect strainers; check air ingress; assess impeller condition</t>
  </si>
  <si>
    <t xml:space="preserve">Clean or replace the strainer after safe isolation</t>
  </si>
  <si>
    <t xml:space="preserve">Synthetic - pending expert validation. Source verification step: Confirm stable suction and discharge pressure</t>
  </si>
  <si>
    <t xml:space="preserve">ISO 14224:2016 / Bloch &amp; Geitner Practical Machinery Management Vol 1</t>
  </si>
  <si>
    <t xml:space="preserve">FM-030</t>
  </si>
  <si>
    <t xml:space="preserve">OS-002</t>
  </si>
  <si>
    <t xml:space="preserve">Performance</t>
  </si>
  <si>
    <t xml:space="preserve">Discharge pressure dheere dheere kam ho raha hai aur flow kam lag raha hai. Suction side ka vacuum gauge normal se zyada vacuum dikha raha hai. Pump me halki crackling awaaz bhi kabhi kabhi aati hai. Strainer pichli baar kaafi pehle saaf hua tha.</t>
  </si>
  <si>
    <t xml:space="preserve">Gradual loss of discharge pressure and flow; high suction vacuum; intermittent crackling noise.</t>
  </si>
  <si>
    <t xml:space="preserve">Progressive over days (illustrative)</t>
  </si>
  <si>
    <t xml:space="preserve">Suction Line</t>
  </si>
  <si>
    <t xml:space="preserve">Suction Strainer</t>
  </si>
  <si>
    <t xml:space="preserve">PUMP.SUCT.STRN</t>
  </si>
  <si>
    <t xml:space="preserve">Strainer Blockage</t>
  </si>
  <si>
    <t xml:space="preserve">Partially blocked suction strainer (suspected, unconfirmed).</t>
  </si>
  <si>
    <t xml:space="preserve">Cavitation from other causes; loss of prime; impeller wear; closed suction valve.</t>
  </si>
  <si>
    <t xml:space="preserve">Debris on strainer raises suction losses, lowering NPSH available and delivered head.</t>
  </si>
  <si>
    <t xml:space="preserve">Component: strainer clogged. Equipment: low flow, possible cavitation. Operational: process supply shortfall. If ignored: impeller and seal damage.</t>
  </si>
  <si>
    <t xml:space="preserve">1. Suction valve fully open -&gt; closed/partly closed valve gives same symptom. A negative finding does not rule this cause out.
2. Strainer differential gauge or visible fouling -&gt; high differential supports blockage. A negative finding does not rule this cause out.
3. Tank level and visible debris -&gt; low level or debris source. A negative finding does not rule this cause out.</t>
  </si>
  <si>
    <t xml:space="preserve">1. Suction pressure/vacuum | Instrument: Gauge | Location: Suction tap | Unit: bar or kPa (per gauge) | Interpretation: compare with baseline at same duty
2. Discharge pressure and flow | Instrument: Gauge/flow meter | Location: Per OEM / site procedure (measurement point to be marked on equipment) | Unit: bar or kPa (per gauge) | Interpretation: compare with pump curve
3. Strainer differential pressure | Instrument: Differential gauge | Location: Per OEM / site procedure (measurement point to be marked on equipment) | Unit: bar or kPa (per gauge) | Interpretation: increase vs clean baseline</t>
  </si>
  <si>
    <t xml:space="preserve">Impeller wear: suction normal but head low; Prime loss: no flow; Valve closed: vacuum high but strainer ΔP normal. Diagnosis remains inconclusive if Tier 2 results lie within OEM/site baseline or point equally to two causes; then escalate to supervisor/OEM.</t>
  </si>
  <si>
    <t xml:space="preserve">LOTO and supervisor approval: isolate suction/discharge, drain, open strainer, clean/replace element, inspect for debris source, reinstall, vent and restart under supervision. Requires supervisor approval and LOTO before work. Tools/expertise: qualified maintenance technician with OEM procedure.</t>
  </si>
  <si>
    <t xml:space="preserve">Strainer basket/element; gasket (part numbers/compatibility must come from OEM parts list)</t>
  </si>
  <si>
    <t xml:space="preserve">Scheduled strainer cleaning by ΔP trend; tank housekeeping. Intervals: per OEM; none invented here.</t>
  </si>
  <si>
    <t xml:space="preserve">Rising suction vacuum; crackling noise.</t>
  </si>
  <si>
    <t xml:space="preserve">S14; S01; S02; S03; S04; S10</t>
  </si>
  <si>
    <t xml:space="preserve">CASE-PUMP-005</t>
  </si>
  <si>
    <t xml:space="preserve">Utility Plant A</t>
  </si>
  <si>
    <t xml:space="preserve">Impeller and suction system</t>
  </si>
  <si>
    <t xml:space="preserve">Crackling noise; fluctuating pressure; vibration</t>
  </si>
  <si>
    <t xml:space="preserve">Cavitation</t>
  </si>
  <si>
    <t xml:space="preserve">Restricted suction flow causing inadequate NPSHa (illustrative - unverified)</t>
  </si>
  <si>
    <t xml:space="preserve">Do not open pressurized suction piping</t>
  </si>
  <si>
    <t xml:space="preserve">Review suction pressure; fluid temperature; flow conditions; NPSH requirements</t>
  </si>
  <si>
    <t xml:space="preserve">Remove the restriction and restore suitable suction conditions</t>
  </si>
  <si>
    <t xml:space="preserve">Synthetic - pending expert validation. Source verification step: Confirm stable operation and disappearance of cavitation indicators</t>
  </si>
  <si>
    <t xml:space="preserve">FM-003</t>
  </si>
  <si>
    <t xml:space="preserve">OS-003</t>
  </si>
  <si>
    <t xml:space="preserve">Noise/Performance</t>
  </si>
  <si>
    <t xml:space="preserve">Pump me kankar/bajri chalne jaisi crackling awaaz aa rahi hai, discharge pressure oscillate kar raha hai aur vibration bhi hai. Suction line me valve kuch band kiya gaya tha. Awaaz flow badhane par thodi badal jaati hai.</t>
  </si>
  <si>
    <t xml:space="preserve">Gravel-like crackling noise; fluctuating discharge pressure; vibration; started after suction throttling.</t>
  </si>
  <si>
    <t xml:space="preserve">Continuous, flow-dependent (illustrative)</t>
  </si>
  <si>
    <t xml:space="preserve">High</t>
  </si>
  <si>
    <t xml:space="preserve">Hydraulic End</t>
  </si>
  <si>
    <t xml:space="preserve">Impeller</t>
  </si>
  <si>
    <t xml:space="preserve">PUMP.HYDR.IMPL</t>
  </si>
  <si>
    <t xml:space="preserve">Restricted suction flow giving inadequate NPSH available (suspected, unconfirmed).</t>
  </si>
  <si>
    <t xml:space="preserve">Strainer blockage; high fluid temperature; air entrainment; low-flow recirculation; bearing damage.</t>
  </si>
  <si>
    <t xml:space="preserve">Local pressure falls below vapour pressure; vapour bubbles collapse at impeller causing noise, pitting and head loss.</t>
  </si>
  <si>
    <t xml:space="preserve">Component: impeller erosion. Equipment: head and flow instability, seal/bearing damage. Operational: unstable supply. If ignored: impeller destruction.</t>
  </si>
  <si>
    <t xml:space="preserve">1. Suction valve position and line obstruction -&gt; throttled suction. A negative finding does not rule this cause out.
2. Tank level and fluid temperature indication -&gt; low level/high temperature. A negative finding does not rule this cause out.
3. Visible air ingress or vortexing at intake -&gt; air entrainment. A negative finding does not rule this cause out.</t>
  </si>
  <si>
    <t xml:space="preserve">1. Suction pressure vs OEM NPSHr and process data | Instrument: Gauge, calculation by qualified person | Location: Per OEM / site procedure (measurement point to be marked on equipment) | Unit: bar or kPa (per gauge) | Interpretation: margin shortfall indicates cavitation
2. Discharge pressure fluctuation | Instrument: Pressure gauge/transmitter | Location: Per OEM / site procedure (measurement point to be marked on equipment) | Unit: bar or kPa (per gauge) | Interpretation: oscillation supports cavitation
3. Vibration/acoustic high-frequency broadband | Instrument: Analyser | Location: Per OEM / site procedure (measurement point to be marked on equipment) | Unit: mm/s or g (per instrument/standard) | Interpretation: broadband rise</t>
  </si>
  <si>
    <t xml:space="preserve">Bearing defect: discrete frequencies, no pressure swing; Recirculation: occurs at low flow; Air ingress: affected by gland/joint. Diagnosis remains inconclusive if Tier 2 results lie within OEM/site baseline or point equally to two causes; then escalate to supervisor/OEM.</t>
  </si>
  <si>
    <t xml:space="preserve">LOTO and supervisor approval: correct suction restriction, inspect impeller, replace if eroded, review NPSH margin per ANSI/HI 9.6.1. Requires supervisor approval and LOTO before work. Tools/expertise: qualified maintenance technician with OEM procedure.</t>
  </si>
  <si>
    <t xml:space="preserve">Impeller; wear rings; gaskets (part numbers/compatibility must come from OEM parts list)</t>
  </si>
  <si>
    <t xml:space="preserve">Maintain NPSH margin; avoid throttling suction; monitor suction pressure. Intervals: per OEM; none invented here.</t>
  </si>
  <si>
    <t xml:space="preserve">Pressure oscillation; crackling noise.</t>
  </si>
  <si>
    <t xml:space="preserve">S14; S01; S02; S03; S04; S08; S10</t>
  </si>
  <si>
    <t xml:space="preserve">CASE-PUMP-006</t>
  </si>
  <si>
    <t xml:space="preserve">Chilled Water Secondary Loop</t>
  </si>
  <si>
    <t xml:space="preserve">Ebara 3M Series</t>
  </si>
  <si>
    <t xml:space="preserve">Mechanical seal</t>
  </si>
  <si>
    <t xml:space="preserve">Fluid leakage near shaft and seal housing</t>
  </si>
  <si>
    <t xml:space="preserve">Damaged mechanical seal faces (illustrative - unverified)</t>
  </si>
  <si>
    <t xml:space="preserve">Assess fluid toxicity, temperature and pressure before intervention</t>
  </si>
  <si>
    <t xml:space="preserve">Inspect leakage pattern; operating history; seal arrangement; shaft condition</t>
  </si>
  <si>
    <t xml:space="preserve">Replace seal using the manufacturer's installation procedure</t>
  </si>
  <si>
    <t xml:space="preserve">Synthetic - pending expert validation. Source verification step: Perform approved leak test and inspect during controlled operation</t>
  </si>
  <si>
    <t xml:space="preserve">OS-004</t>
  </si>
  <si>
    <t xml:space="preserve">Seal housing ke nichse halka seepage hai jo pump band hone ke baad bhi chalta rehta hai. Pump pehle chemical dose line ke saath chal raha tha aur fluid temperature process change ke baad badh gaya. Leak steady hai, shor normal hai.</t>
  </si>
  <si>
    <t xml:space="preserve">Steady seepage at seal that continues at standstill; recent fluid chemistry/temperature change; no abnormal vibration.</t>
  </si>
  <si>
    <t xml:space="preserve">Running and standstill (illustrative; no recorded readings)</t>
  </si>
  <si>
    <t xml:space="preserve">Continuous (illustrative)</t>
  </si>
  <si>
    <t xml:space="preserve">FMEA_Taxonomy code and vocabulary FM-ID are linked by case-level judgement (no official join table). Secondary-seal/elastomer leakage not a separate taxonomy mode; mapped to Seal Face Leakage - AMBIGUOUS.</t>
  </si>
  <si>
    <t xml:space="preserve">Secondary sealing element (O-ring/elastomer) degraded by temperature or chemical incompatibility (suspected, unconfirmed).</t>
  </si>
  <si>
    <t xml:space="preserve">Cracked seal face; sleeve damage; gasket leak; casing joint leak.</t>
  </si>
  <si>
    <t xml:space="preserve">Incompatible fluid or heat hardens/swells elastomer so static sealing is lost even with faces intact.</t>
  </si>
  <si>
    <t xml:space="preserve">Component: elastomer failure. Equipment: leakage and housekeeping. Operational: stop to replace seal. If ignored: leak worsens, bearing contamination.</t>
  </si>
  <si>
    <t xml:space="preserve">1. Leak persists with pump stopped -&gt; static-sealing path rather than face-wear. A negative finding does not rule this cause out.
2. Leak path along shaft sleeve vs housing joint -&gt; locates seal element. A negative finding does not rule this cause out.
3. Product compatibility record -&gt; change in fluid/temperature. A negative finding does not rule this cause out.</t>
  </si>
  <si>
    <t xml:space="preserve">1. Fluid temperature | Instrument: Calibrated thermometer/process instrument | Location: Per OEM / site procedure (measurement point to be marked on equipment) | Unit: °C | Interpretation: vs OEM seal limit
2. Process fluid composition | Instrument: Lab/process records | Location: Per OEM / site procedure (measurement point to be marked on equipment) | Unit: Per instrument | Interpretation: compatibility check
3. Seal-housing temperature | Instrument: IR thermometer | Location: Per OEM / site procedure (measurement point to be marked on equipment) | Unit: °C | Interpretation: heating suggests face contact (alternative)</t>
  </si>
  <si>
    <t xml:space="preserve">Face wear: leak mainly when running; Joint leak: leakage between flanges; Sleeve fretting: groove on sleeve at inspection. Diagnosis remains inconclusive if Tier 2 results lie within OEM/site baseline or point equally to two causes; then escalate to supervisor/OEM.</t>
  </si>
  <si>
    <t xml:space="preserve">LOTO and supervisor approval: isolate, depressurise, drain, replace seal with elastomer rated for fluid/temperature per OEM, leak-test. Requires supervisor approval and LOTO before work. Tools/expertise: qualified maintenance technician with OEM procedure.</t>
  </si>
  <si>
    <t xml:space="preserve">O-rings/elastomers in compatible material; seal cartridge if damaged (part numbers/compatibility must come from OEM parts list)</t>
  </si>
  <si>
    <t xml:space="preserve">Elastomer selection per OEM; management of change for process shifts. Intervals: per OEM; none invented here.</t>
  </si>
  <si>
    <t xml:space="preserve">Steady seepage at standstill.</t>
  </si>
  <si>
    <t xml:space="preserve">S14; S01; S02; S03; S04; S06; S10</t>
  </si>
  <si>
    <t xml:space="preserve">CASE-PUMP-007</t>
  </si>
  <si>
    <t xml:space="preserve">Flowserve Mark 3</t>
  </si>
  <si>
    <t xml:space="preserve">Bearings and casing</t>
  </si>
  <si>
    <t xml:space="preserve">Elevated casing temperature; increased noise; abnormal operation</t>
  </si>
  <si>
    <t xml:space="preserve">Pump overheating</t>
  </si>
  <si>
    <t xml:space="preserve">Insufficient bearing lubrication (illustrative - unverified)</t>
  </si>
  <si>
    <t xml:space="preserve">Allow components to cool before authorized maintenance</t>
  </si>
  <si>
    <t xml:space="preserve">Check temperature trends; lubrication condition; flow; operating point</t>
  </si>
  <si>
    <t xml:space="preserve">Correct lubrication using OEM-specified lubricant and quantity</t>
  </si>
  <si>
    <t xml:space="preserve">Synthetic - pending expert validation. Source verification step: Monitor bearing temperature and vibration</t>
  </si>
  <si>
    <t xml:space="preserve">FM-043</t>
  </si>
  <si>
    <t xml:space="preserve">OS-005</t>
  </si>
  <si>
    <t xml:space="preserve">Temperature</t>
  </si>
  <si>
    <t xml:space="preserve">Bearing housing aur casing ke paas garmi zyada hai, halki zyada awaaz aa rahi hai. Oil sight glass me level neeche dikh raha hai aur oil kaala lag raha hai. Pump normal flow par chal raha hai.</t>
  </si>
  <si>
    <t xml:space="preserve">Elevated bearing-housing/casing temperature, increased noise; low and dark oil in sight glass; flow normal.</t>
  </si>
  <si>
    <t xml:space="preserve">Continuous, worsening (illustrative)</t>
  </si>
  <si>
    <t xml:space="preserve">Insufficient oil in oil-lubricated bearing sump (suspected, unconfirmed).</t>
  </si>
  <si>
    <t xml:space="preserve">Contaminated oil; excessive oil; misalignment; bearing damage; cooling problem.</t>
  </si>
  <si>
    <t xml:space="preserve">Low oil reduces film and cooling, raising bearing temperature and wear.</t>
  </si>
  <si>
    <t xml:space="preserve">Component: bearing overheating. Equipment: oil degradation, seizure risk. Operational: potential trip. If ignored: bearing seizure.</t>
  </si>
  <si>
    <t xml:space="preserve">1. Oil level in sight glass -&gt; low level supports cause. A negative finding does not rule this cause out.
2. Oil colour/emulsion -&gt; dark/milky indicates degradation or water. A negative finding does not rule this cause out.
3. Leakage from housing -&gt; loss path. A negative finding does not rule this cause out.</t>
  </si>
  <si>
    <t xml:space="preserve">1. Housing surface temperature | Instrument: IR thermometer | Location: Per OEM / site procedure (measurement point to be marked on equipment) | Unit: °C | Interpretation: vs baseline
2. Vibration spectrum | Instrument: Analyser | Location: Per OEM / site procedure (measurement point to be marked on equipment) | Unit: mm/s or g (per instrument/standard) | Interpretation: raised high-frequency suggests damage
3. Oil sample | Instrument: Lab test | Location: Per OEM / site procedure (measurement point to be marked on equipment) | Unit: Per instrument | Interpretation: condition indicators</t>
  </si>
  <si>
    <t xml:space="preserve">Over-lubrication: heat with level high; Misalignment: 1x/2x vibration; Cooling fault: both sides heat. Diagnosis remains inconclusive if Tier 2 results lie within OEM/site baseline or point equally to two causes; then escalate to supervisor/OEM.</t>
  </si>
  <si>
    <t xml:space="preserve">LOTO and supervisor approval: drain oil, flush, inspect bearing, replace if damaged, refill to correct level with OEM-specified oil. Requires supervisor approval and LOTO before work. Tools/expertise: qualified maintenance technician with OEM procedure.</t>
  </si>
  <si>
    <t xml:space="preserve">Bearing set; oil; gaskets; oiler/level glass (part numbers/compatibility must come from OEM parts list)</t>
  </si>
  <si>
    <t xml:space="preserve">Oil-level checks; oil analysis; leakage repair. Intervals: per OEM; none invented here.</t>
  </si>
  <si>
    <t xml:space="preserve">Level drop; oil darkening.</t>
  </si>
  <si>
    <t xml:space="preserve">CASE-PUMP-008</t>
  </si>
  <si>
    <t xml:space="preserve">Raw Water Intake</t>
  </si>
  <si>
    <t xml:space="preserve">Goulds 3196</t>
  </si>
  <si>
    <t xml:space="preserve">Priming and suction assembly</t>
  </si>
  <si>
    <t xml:space="preserve">Motor runs but no expected discharge flow</t>
  </si>
  <si>
    <t xml:space="preserve">Pump fails to deliver fluid</t>
  </si>
  <si>
    <t xml:space="preserve">Loss of pump prime (illustrative - unverified)</t>
  </si>
  <si>
    <t xml:space="preserve">Do not operate outside permitted dry-running conditions</t>
  </si>
  <si>
    <t xml:space="preserve">Verify valve positions; priming condition; suction integrity; flow instrumentation</t>
  </si>
  <si>
    <t xml:space="preserve">Restore priming using the approved operating procedure</t>
  </si>
  <si>
    <t xml:space="preserve">Synthetic - pending expert validation. Source verification step: Confirm expected flow and pressure</t>
  </si>
  <si>
    <t xml:space="preserve">Hydraulic Institute Standards ANSI/HI 9.6.1 Cavitation Guidelines</t>
  </si>
  <si>
    <t xml:space="preserve">FM-042</t>
  </si>
  <si>
    <t xml:space="preserve">OS-006</t>
  </si>
  <si>
    <t xml:space="preserve">Motor chal raha hai lekin pump pani nahi de raha. Discharge gauge zero ke aas-paas hai aur pump casing me hawa ki awaaz lag rahi hai. Pump pichle shutdown ke baad restart kiya gaya aur foot valve ka condition shak me hai.</t>
  </si>
  <si>
    <t xml:space="preserve">Motor running, no discharge flow, near-zero discharge pressure, air noise; restart after shutdown, foot valve suspect.</t>
  </si>
  <si>
    <t xml:space="preserve">Running, no flow (illustrative; no recorded readings)</t>
  </si>
  <si>
    <t xml:space="preserve">Since restart (illustrative)</t>
  </si>
  <si>
    <t xml:space="preserve">Suction and Priming</t>
  </si>
  <si>
    <t xml:space="preserve">Suction Line Joints and Gland Seal Interface</t>
  </si>
  <si>
    <t xml:space="preserve">PUMP.SUCT.PRIM</t>
  </si>
  <si>
    <t xml:space="preserve">Air Ingress / Loss of Prime</t>
  </si>
  <si>
    <t xml:space="preserve">Loss of pump prime (suspected, unconfirmed).</t>
  </si>
  <si>
    <t xml:space="preserve">Closed suction valve; blocked strainer; wrong rotation; discharge valve closed.</t>
  </si>
  <si>
    <t xml:space="preserve">Air in casing prevents impeller developing suction.</t>
  </si>
  <si>
    <t xml:space="preserve">Component: dry running risk. Equipment: seal damage. Operational: no supply. If ignored: seal and bearing damage.</t>
  </si>
  <si>
    <t xml:space="preserve">1. Suction/discharge valve positions -&gt; closed valve alternative. A negative finding does not rule this cause out.
2. Casing vent and priming status -&gt; air present. A negative finding does not rule this cause out.
3. Foot valve/priming system condition -&gt; leakage path. A negative finding does not rule this cause out.</t>
  </si>
  <si>
    <t xml:space="preserve">1. Discharge/suction pressure | Instrument: Gauges | Location: Per OEM / site procedure (measurement point to be marked on equipment) | Unit: bar or kPa (per gauge) | Interpretation: near zero indicates no head
2. Motor current | Instrument: Clamp meter (qualified) | Location: Per OEM / site procedure (measurement point to be marked on equipment) | Unit: A | Interpretation: low current indicates unloaded pump
3. Rotation direction check (visual, approved) | Instrument: Instrument to be selected by qualified person | Location: Per OEM / site procedure (measurement point to be marked on equipment) | Unit: Per instrument | Interpretation: wrong rotation alternative</t>
  </si>
  <si>
    <t xml:space="preserve">Wrong rotation: flow weak but present; Blocked strainer: high vacuum; Closed discharge: pressure high. Diagnosis remains inconclusive if Tier 2 results lie within OEM/site baseline or point equally to two causes; then escalate to supervisor/OEM.</t>
  </si>
  <si>
    <t xml:space="preserve">LOTO and supervisor approval: stop, vent and prime, repair foot valve/suction joint, restart under supervision. Requires supervisor approval and LOTO before work. Tools/expertise: qualified maintenance technician with OEM procedure.</t>
  </si>
  <si>
    <t xml:space="preserve">Foot valve; gaskets; priming accessories (part numbers/compatibility must come from OEM parts list)</t>
  </si>
  <si>
    <t xml:space="preserve">Priming checklist; foot valve inspection. Intervals: per OEM; none invented here.</t>
  </si>
  <si>
    <t xml:space="preserve">Air noise; low current.</t>
  </si>
  <si>
    <t xml:space="preserve">CASE-PUMP-009</t>
  </si>
  <si>
    <t xml:space="preserve">Pump bearings</t>
  </si>
  <si>
    <t xml:space="preserve">Repeated bearing replacements; increased vibration; abnormal temperature</t>
  </si>
  <si>
    <t xml:space="preserve">Frequent bearing failures</t>
  </si>
  <si>
    <t xml:space="preserve">Lubricant contamination (illustrative - unverified)</t>
  </si>
  <si>
    <t xml:space="preserve">Use proper handling procedures for bearings and lubricants</t>
  </si>
  <si>
    <t xml:space="preserve">Review failure history; inspect bearing surfaces; lubrication; alignment</t>
  </si>
  <si>
    <t xml:space="preserve">Eliminate contamination source and replace affected lubricant and bearings as required</t>
  </si>
  <si>
    <t xml:space="preserve">Synthetic - pending expert validation. Source verification step: Trend vibration and temperature after maintenance</t>
  </si>
  <si>
    <t xml:space="preserve">FM-019</t>
  </si>
  <si>
    <t xml:space="preserve">OS-007</t>
  </si>
  <si>
    <t xml:space="preserve">Recurring failure</t>
  </si>
  <si>
    <t xml:space="preserve">Is pump ke bearing baar baar kharab ho rahe hain, teen mahine me do baar badalna pada. Housing ke andar grease me paani/dhool mili. Shaft ke paas bearing cover se lip seal ghisa hua dikha. Har baar naye bearing ke baad kuch hafte theek chalta hai.</t>
  </si>
  <si>
    <t xml:space="preserve">Repeated bearing replacements; contaminated grease; worn bearing housing lip seal; recurrence within weeks.</t>
  </si>
  <si>
    <t xml:space="preserve">Recurring (months) (illustrative)</t>
  </si>
  <si>
    <t xml:space="preserve">Bearing Housing Isolators / Lip Seals</t>
  </si>
  <si>
    <t xml:space="preserve">PUMP.BRNG.SEAL</t>
  </si>
  <si>
    <t xml:space="preserve">Bearing Housing Seal Failure</t>
  </si>
  <si>
    <t xml:space="preserve">Failed housing lip seals/isolators admitting water and dust that contaminate lubricant (suspected, unconfirmed).</t>
  </si>
  <si>
    <t xml:space="preserve">Misalignment; pipe strain; soft foot; over-greasing; wrong lubricant.</t>
  </si>
  <si>
    <t xml:space="preserve">Contaminant ingress degrades film and causes spalling; recurrence persists because the ingress path is not corrected.</t>
  </si>
  <si>
    <t xml:space="preserve">Component: repeated bearing failure. Equipment: seals and shaft affected. Operational: repeated unplanned downtime. If ignored: chronic failures.</t>
  </si>
  <si>
    <t xml:space="preserve">1. Lip seal/isolator wear or gaps -&gt; ingress path. A negative finding does not rule this cause out.
2. Washdown/spray exposure -&gt; external water source. A negative finding does not rule this cause out.
3. Grease condition at purge point -&gt; contamination. A negative finding does not rule this cause out.</t>
  </si>
  <si>
    <t xml:space="preserve">1. Vibration trend after each replacement | Instrument: Analyser | Location: Per OEM / site procedure (measurement point to be marked on equipment) | Unit: mm/s or g (per instrument/standard) | Interpretation: early recurrence
2. Housing temperature | Instrument: IR thermometer | Location: Per OEM / site procedure (measurement point to be marked on equipment) | Unit: °C | Interpretation: trend
3. Lubricant analysis | Instrument: Lab | Location: Per OEM / site procedure (measurement point to be marked on equipment) | Unit: Per instrument | Interpretation: contaminants</t>
  </si>
  <si>
    <t xml:space="preserve">Misalignment: 2x and axial vibration; Looseness: harmonics; Lubricant error: no contamination. Diagnosis remains inconclusive if Tier 2 results lie within OEM/site baseline or point equally to two causes; then escalate to supervisor/OEM.</t>
  </si>
  <si>
    <t xml:space="preserve">LOTO and supervisor approval: replace bearings and housing seals/isolators, clean housing, check shaft finish and alignment, protect from washdown. Requires supervisor approval and LOTO before work. Tools/expertise: qualified maintenance technician with OEM procedure.</t>
  </si>
  <si>
    <t xml:space="preserve">Bearing set; lip seals/isolators; shaft sleeve if scored (part numbers/compatibility must come from OEM parts list)</t>
  </si>
  <si>
    <t xml:space="preserve">Upgrade bearing protection; root cause review of each failure; correct lubrication. Intervals: per OEM; none invented here.</t>
  </si>
  <si>
    <t xml:space="preserve">Early life vibration rise.</t>
  </si>
  <si>
    <t xml:space="preserve">S14; S01; S02; S05; S06; S10</t>
  </si>
  <si>
    <t xml:space="preserve">CASE-PUMP-010</t>
  </si>
  <si>
    <t xml:space="preserve">Impeller and casing</t>
  </si>
  <si>
    <t xml:space="preserve">Intermittent rattling; fluctuating operating noise</t>
  </si>
  <si>
    <t xml:space="preserve">Unusual pump noise</t>
  </si>
  <si>
    <t xml:space="preserve">Foreign material lodged near impeller (illustrative - unverified)</t>
  </si>
  <si>
    <t xml:space="preserve">Ensure complete isolation before opening casing</t>
  </si>
  <si>
    <t xml:space="preserve">Review operating conditions; inspect internal components after isolation</t>
  </si>
  <si>
    <t xml:space="preserve">Remove obstruction and inspect for damage</t>
  </si>
  <si>
    <t xml:space="preserve">Synthetic - pending expert validation. Source verification step: Confirm normal noise and stable operation</t>
  </si>
  <si>
    <t xml:space="preserve">FM-050</t>
  </si>
  <si>
    <t xml:space="preserve">OS-008</t>
  </si>
  <si>
    <t xml:space="preserve">Noise</t>
  </si>
  <si>
    <t xml:space="preserve">Pump se rukh rukh ke khat-khat/rattling awaaz aa rahi hai aur flow kabhi kam ho jaata hai. Pichle repair ke baad tank me kuch kapda/plastic ke tukde mile the. Awaaz bina kisi pattern ke aati-jaati hai.</t>
  </si>
  <si>
    <t xml:space="preserve">Intermittent rattling and flow dips; debris found in tank previously.</t>
  </si>
  <si>
    <t xml:space="preserve">Intermittent (illustrative)</t>
  </si>
  <si>
    <t xml:space="preserve">No FMEA_Taxonomy row</t>
  </si>
  <si>
    <t xml:space="preserve">GAP - no FMEA_Taxonomy entry</t>
  </si>
  <si>
    <t xml:space="preserve">FM-ID ONLY - FMEA_Taxonomy gap</t>
  </si>
  <si>
    <t xml:space="preserve">No FMEA_Taxonomy row for this failure mode/component; taxonomy review proposed.</t>
  </si>
  <si>
    <t xml:space="preserve">Foreign material lodged in or near impeller, partially blocking vane passage (suspected, unconfirmed).</t>
  </si>
  <si>
    <t xml:space="preserve">Cavitation; bearing damage; coupling looseness; wear ring rub.</t>
  </si>
  <si>
    <t xml:space="preserve">Debris blocks/impacts impeller vanes causing imbalance, noise and flow reduction.</t>
  </si>
  <si>
    <t xml:space="preserve">Component: vane damage/imbalance. Equipment: vibration and seal wear. Operational: unstable flow. If ignored: impeller or casing damage.</t>
  </si>
  <si>
    <t xml:space="preserve">1. Debris in sump/screen -&gt; source. A negative finding does not rule this cause out.
2. Noise pattern after speed/flow change -&gt; debris moving. A negative finding does not rule this cause out.
3. Strainer integrity -&gt; breach. A negative finding does not rule this cause out.</t>
  </si>
  <si>
    <t xml:space="preserve">1. Discharge pressure/flow | Instrument: Gauge | Location: Per OEM / site procedure (measurement point to be marked on equipment) | Unit: bar or kPa (per gauge) | Interpretation: vs curve
2. Vibration | Instrument: Analyser | Location: Per OEM / site procedure (measurement point to be marked on equipment) | Unit: mm/s or g (per instrument/standard) | Interpretation: 1x with impact content
3. Motor current | Instrument: Clamp meter | Location: Per OEM / site procedure (measurement point to be marked on equipment) | Unit: A | Interpretation: fluctuation</t>
  </si>
  <si>
    <t xml:space="preserve">Cavitation: broadband; Bearing: constant tonal; Coupling: torque-related. Diagnosis remains inconclusive if Tier 2 results lie within OEM/site baseline or point equally to two causes; then escalate to supervisor/OEM.</t>
  </si>
  <si>
    <t xml:space="preserve">LOTO and supervisor approval: open casing, remove debris, inspect impeller and wear rings, repair/replace, restore screens. Requires supervisor approval and LOTO before work. Tools/expertise: qualified maintenance technician with OEM procedure.</t>
  </si>
  <si>
    <t xml:space="preserve">Impeller if damaged; wear rings; gaskets (part numbers/compatibility must come from OEM parts list)</t>
  </si>
  <si>
    <t xml:space="preserve">Screening; housekeeping; debris control during maintenance. Intervals: per OEM; none invented here.</t>
  </si>
  <si>
    <t xml:space="preserve">Intermittent flow dips.</t>
  </si>
  <si>
    <t xml:space="preserve">CASE-PUMP-011</t>
  </si>
  <si>
    <t xml:space="preserve">Impeller and drive assembly</t>
  </si>
  <si>
    <t xml:space="preserve">Higher-than-normal motor current; increased energy consumption</t>
  </si>
  <si>
    <t xml:space="preserve">Excessive power consumption</t>
  </si>
  <si>
    <t xml:space="preserve">Pump operating outside intended operating range (illustrative - unverified)</t>
  </si>
  <si>
    <t xml:space="preserve">Electrical measurements by qualified personnel</t>
  </si>
  <si>
    <t xml:space="preserve">Compare current, flow, pressure and operating point against baseline</t>
  </si>
  <si>
    <t xml:space="preserve">Correct operating conditions within OEM-approved limits</t>
  </si>
  <si>
    <t xml:space="preserve">Synthetic - pending expert validation. Source verification step: Compare electrical and hydraulic performance</t>
  </si>
  <si>
    <t xml:space="preserve">FM-017</t>
  </si>
  <si>
    <t xml:space="preserve">OS-009</t>
  </si>
  <si>
    <t xml:space="preserve">Performance/Energy</t>
  </si>
  <si>
    <t xml:space="preserve">Motor ka current normal se zyada aa raha hai aur bijli ki khapat badh gayi hai. Pump zyada flow de raha hai kyunki discharge valve kaafi khula hua hai. Pressure kam hai lekin motor garam ho raha hai.</t>
  </si>
  <si>
    <t xml:space="preserve">High motor current/energy use; high flow, low head with open discharge valve; motor warming.</t>
  </si>
  <si>
    <t xml:space="preserve">Running, high flow (illustrative; no recorded readings)</t>
  </si>
  <si>
    <t xml:space="preserve">Pump operating far right of its duty point (high-flow runout) (suspected, unconfirmed).</t>
  </si>
  <si>
    <t xml:space="preserve">Internal rub; mechanical drag; motor fault; wrong impeller trim.</t>
  </si>
  <si>
    <t xml:space="preserve">At high flow, power demand rises and head falls; motor loads toward overload.</t>
  </si>
  <si>
    <t xml:space="preserve">Component: motor load rises. Equipment: heating, possible trip. Operational: wasted energy. If ignored: overload trips.</t>
  </si>
  <si>
    <t xml:space="preserve">1. Discharge valve position -&gt; wide open. A negative finding does not rule this cause out.
2. System changes (bypass open) -&gt; flow increase. A negative finding does not rule this cause out.
3. Motor heating indication -&gt; load. A negative finding does not rule this cause out.</t>
  </si>
  <si>
    <t xml:space="preserve">1. Discharge pressure and flow | Instrument: Gauge/meter | Location: Per OEM / site procedure (measurement point to be marked on equipment) | Unit: bar or kPa (per gauge) | Interpretation: compare with curve
2. Motor current and power | Instrument: Clamp/power analyser (qualified) | Location: Per OEM / site procedure (measurement point to be marked on equipment) | Unit: A | Interpretation: vs nameplate
3. Speed | Instrument: Tachometer | Location: Per OEM / site procedure (measurement point to be marked on equipment) | Unit: rpm | Interpretation: verify</t>
  </si>
  <si>
    <t xml:space="preserve">Mechanical drag: noise and vibration; Motor fault: unbalanced current. Diagnosis remains inconclusive if Tier 2 results lie within OEM/site baseline or point equally to two causes; then escalate to supervisor/OEM.</t>
  </si>
  <si>
    <t xml:space="preserve">LOTO and supervisor approval where intrusive: adjust system/throttle properly, check impeller trim, inspect for rub. Requires supervisor approval and LOTO before work. Tools/expertise: qualified maintenance technician with OEM procedure.</t>
  </si>
  <si>
    <t xml:space="preserve">Impeller (if wrong trim); wear rings (part numbers/compatibility must come from OEM parts list)</t>
  </si>
  <si>
    <t xml:space="preserve">Operate near BEP; review system changes. Intervals: per OEM; none invented here.</t>
  </si>
  <si>
    <t xml:space="preserve">Rising kWh per m³.</t>
  </si>
  <si>
    <t xml:space="preserve">S14; S01; S02; S10</t>
  </si>
  <si>
    <t xml:space="preserve">CASE-PUMP-012</t>
  </si>
  <si>
    <t xml:space="preserve">Motor protection and pump system</t>
  </si>
  <si>
    <t xml:space="preserve">Unexpected trips during operation</t>
  </si>
  <si>
    <t xml:space="preserve">Repeated pump shutdown</t>
  </si>
  <si>
    <t xml:space="preserve">Mechanical overload caused by abnormal operating conditions (illustrative - unverified)</t>
  </si>
  <si>
    <t xml:space="preserve">Never repeatedly reset a trip without investigating its cause</t>
  </si>
  <si>
    <t xml:space="preserve">Examine protection relay records; motor current; operating conditions; mechanical condition</t>
  </si>
  <si>
    <t xml:space="preserve">Resolve verified overload source; do not bypass protection</t>
  </si>
  <si>
    <t xml:space="preserve">Synthetic - pending expert validation. Source verification step: Authorized controlled restart and load monitoring</t>
  </si>
  <si>
    <t xml:space="preserve">API 682 Piping Plans &amp; Mechanical Seal Failure Analysis Guide</t>
  </si>
  <si>
    <t xml:space="preserve">FM-048</t>
  </si>
  <si>
    <t xml:space="preserve">OS-010</t>
  </si>
  <si>
    <t xml:space="preserve">Protection trips</t>
  </si>
  <si>
    <t xml:space="preserve">Pump production ke beech me achanak trip ho jaata hai aur overload relay lagta hai. Restart ke baad kuch der chalta hai phir dobara trip. Gland/bearing se halki garmi aur bind hone jaisi awaaz lagti hai.</t>
  </si>
  <si>
    <t xml:space="preserve">Unexpected trips with overload relay indication; restarts run briefly then trip; warm bearing/gland and binding sound.</t>
  </si>
  <si>
    <t xml:space="preserve">Running/trip (illustrative; no recorded readings)</t>
  </si>
  <si>
    <t xml:space="preserve">Repeated during operation (illustrative)</t>
  </si>
  <si>
    <t xml:space="preserve">Mechanical overload from abnormal operating conditions or mechanical binding (suspected, unconfirmed).</t>
  </si>
  <si>
    <t xml:space="preserve">Single phasing; wrong relay setting; motor fault; high flow; seal drag.</t>
  </si>
  <si>
    <t xml:space="preserve">Increased shaft torque raises current until thermal overload operates.</t>
  </si>
  <si>
    <t xml:space="preserve">Component: overload device operates. Equipment: stops. Operational: repeated outage. If ignored: motor/pump damage.</t>
  </si>
  <si>
    <t xml:space="preserve">1. Overload relay indication -&gt; type of trip. A negative finding does not rule this cause out.
2. Shaft turns freely only after approved isolation -&gt; binding. A negative finding does not rule this cause out.
3. Gland/bearing heat -&gt; friction. A negative finding does not rule this cause out.</t>
  </si>
  <si>
    <t xml:space="preserve">1. Running current per phase | Instrument: Clamp meter (qualified) | Location: Per OEM / site procedure (measurement point to be marked on equipment) | Unit: A | Interpretation: vs nameplate
2. Supply voltage | Instrument: Meter | Location: Per OEM / site procedure (measurement point to be marked on equipment) | Unit: V | Interpretation: low/unbalanced
3. Vibration/temperature | Instrument: Vibration analyser / accelerometer | Location: Per OEM / site procedure (measurement point to be marked on equipment) | Unit: mm/s or g (per instrument/standard) | Interpretation: mechanical cause</t>
  </si>
  <si>
    <t xml:space="preserve">Single phasing: current imbalance; Relay setting error: normal current; Flow runout: high flow. Diagnosis remains inconclusive if Tier 2 results lie within OEM/site baseline or point equally to two causes; then escalate to supervisor/OEM.</t>
  </si>
  <si>
    <t xml:space="preserve">LOTO and supervisor approval: locate binding source, inspect seal/bearing/impeller, verify settings with qualified electrician. Requires supervisor approval and LOTO before work. Tools/expertise: qualified maintenance technician with OEM procedure.</t>
  </si>
  <si>
    <t xml:space="preserve">Bearing/seal as required (part numbers/compatibility must come from OEM parts list)</t>
  </si>
  <si>
    <t xml:space="preserve">Trend current; confirm settings; inspect after trips. Intervals: per OEM; none invented here.</t>
  </si>
  <si>
    <t xml:space="preserve">Rising current.</t>
  </si>
  <si>
    <t xml:space="preserve">S14; S01; S02; S05; S10</t>
  </si>
  <si>
    <t xml:space="preserve">CASE-PUMP-013</t>
  </si>
  <si>
    <t xml:space="preserve">Pump ka head aur flow pehle se kam hai, jabki suction aur motor current normal hain. Discharge pressure rated se neeche aa raha hai. Pump kaafi saalon se bina internal overhaul ke chal raha hai aur fluid me ret/silt aata hai.</t>
  </si>
  <si>
    <t xml:space="preserve">Not confirmed - suspected: Wear-ring clearance increased by abrasive wear causing internal recirculation (suspected, unconfirmed).</t>
  </si>
  <si>
    <t xml:space="preserve">Component: clearance loss. Equipment: reduced efficiency. Operational: low supply. If ignored: further wear.</t>
  </si>
  <si>
    <t xml:space="preserve">1. Abrasive service history -&gt; wear risk. A negative finding does not rule this cause out.
2. Discharge valve/other restrictions -&gt; alternatives. A negative finding does not rule this cause out.
3. No external leak -&gt; internal cause. A negative finding does not rule this cause out.</t>
  </si>
  <si>
    <t xml:space="preserve">1. Head and flow vs OEM curve | Instrument: Gauges/meter | Location: Per OEM / site procedure (measurement point to be marked on equipment) | Unit: m³/h (per meter) | Interpretation: below curve at normal suction
2. Motor power | Instrument: Meter | Location: Per OEM / site procedure (measurement point to be marked on equipment) | Unit: kW | Interpretation: low-ish for flow
3. Vibration | Instrument: Analyser | Location: Per OEM / site procedure (measurement point to be marked on equipment) | Unit: mm/s or g (per instrument/standard) | Interpretation: normal</t>
  </si>
  <si>
    <t xml:space="preserve">LOTO and supervisor approval: open pump, measure ring clearances, replace rings (and impeller if needed) to OEM clearances.</t>
  </si>
  <si>
    <t xml:space="preserve">Synthetic - pending expert validation (new case)</t>
  </si>
  <si>
    <t xml:space="preserve">Not in original</t>
  </si>
  <si>
    <t xml:space="preserve">N/A (new case)</t>
  </si>
  <si>
    <t xml:space="preserve">New case added</t>
  </si>
  <si>
    <t xml:space="preserve">No</t>
  </si>
  <si>
    <t xml:space="preserve">Reduced head/flow versus baseline; normal suction and current; long run without overhaul; abrasive fluid.</t>
  </si>
  <si>
    <t xml:space="preserve">Gradual over months (illustrative)</t>
  </si>
  <si>
    <t xml:space="preserve">Impeller and Wear Rings</t>
  </si>
  <si>
    <t xml:space="preserve">PUMP.HYDR.WEAR</t>
  </si>
  <si>
    <t xml:space="preserve">Impeller / Wear Ring Wear</t>
  </si>
  <si>
    <t xml:space="preserve">FMEA_Taxonomy code and vocabulary FM-ID are linked by case-level judgement (no official join table). FM-030 is a symptom label; wear ring mode has no FM-ID of its own - AMBIGUOUS.</t>
  </si>
  <si>
    <t xml:space="preserve">Wear-ring clearance increased by abrasive wear causing internal recirculation (suspected, unconfirmed).</t>
  </si>
  <si>
    <t xml:space="preserve">Impeller erosion; strainer blockage; speed loss; air ingress.</t>
  </si>
  <si>
    <t xml:space="preserve">Larger clearance lets high-pressure fluid leak back to suction, reducing delivered head/flow.</t>
  </si>
  <si>
    <t xml:space="preserve">Strainer: suction vacuum high; Impeller erosion: visible; Speed: slower. Diagnosis remains inconclusive if Tier 2 results lie within OEM/site baseline or point equally to two causes; then escalate to supervisor/OEM.</t>
  </si>
  <si>
    <t xml:space="preserve">LOTO and supervisor approval: open pump, measure ring clearances, replace rings (and impeller if needed) to OEM clearances. Requires supervisor approval and LOTO before work. Tools/expertise: qualified maintenance technician with OEM procedure.</t>
  </si>
  <si>
    <t xml:space="preserve">Wear rings; impeller; gaskets (part numbers/compatibility must come from OEM parts list)</t>
  </si>
  <si>
    <t xml:space="preserve">Performance trending; filtration. Intervals: per OEM; none invented here.</t>
  </si>
  <si>
    <t xml:space="preserve">Head decline.</t>
  </si>
  <si>
    <t xml:space="preserve">Synthetic scenario. New case. Requires qualified reviewer before any use in retrieval.</t>
  </si>
  <si>
    <t xml:space="preserve">CASE-PUMP-014</t>
  </si>
  <si>
    <t xml:space="preserve">Boiler Feedwater Line</t>
  </si>
  <si>
    <t xml:space="preserve">Pump start aur stop par jhatka sa lagta hai aur coupling ke paas khat-khat awaaz aati hai. Coupling guard ke andar se rubber ki dhool nikal rahi hai. Load par vibration thodi badhti hai.</t>
  </si>
  <si>
    <t xml:space="preserve">Not confirmed - suspected: Flexible coupling element degraded or worn (suspected, unconfirmed).</t>
  </si>
  <si>
    <t xml:space="preserve">Component: coupling failure. Equipment: vibration, shaft wear. Operational: risk of drive loss. If ignored: coupling breaks.</t>
  </si>
  <si>
    <t xml:space="preserve">1. Rubber dust/cracks visible through guard -&gt; element wear. A negative finding does not rule this cause out.
2. Noise at start/stop -&gt; backlash. A negative finding does not rule this cause out.
3. Loose guard -&gt; hazard. A negative finding does not rule this cause out.</t>
  </si>
  <si>
    <t xml:space="preserve">1. Vibration spectrum | Instrument: Analyser | Location: Per OEM / site procedure (measurement point to be marked on equipment) | Unit: mm/s or g (per instrument/standard) | Interpretation: harmonics and impacts
2. Alignment (post-isolation) | Instrument: Laser/dial alignment tool (after approved isolation) | Location: Per OEM / site procedure (measurement point to be marked on equipment) | Unit: Per instrument | Interpretation: confirm
3. Motor current | Instrument: Clamp meter (qualified person) | Location: Per OEM / site procedure (measurement point to be marked on equipment) | Unit: A | Interpretation: oscillation</t>
  </si>
  <si>
    <t xml:space="preserve">LOTO and supervisor approval: remove guard, inspect hubs/element, replace element and check keys, align, refit.</t>
  </si>
  <si>
    <t xml:space="preserve">Jerk on start/stop; clatter at coupling; rubber dust visible; vibration up under load.</t>
  </si>
  <si>
    <t xml:space="preserve">FMEA_Taxonomy code and vocabulary FM-ID are linked by case-level judgement (no official join table). Taxonomy mode is Coupling Misalignment; this case is element wear - AMBIGUOUS.</t>
  </si>
  <si>
    <t xml:space="preserve">Flexible coupling element degraded or worn (suspected, unconfirmed).</t>
  </si>
  <si>
    <t xml:space="preserve">Misalignment; loose hubs; keyway wear; bearing damage.</t>
  </si>
  <si>
    <t xml:space="preserve">Worn element permits backlash and uneven torque transfer.</t>
  </si>
  <si>
    <t xml:space="preserve">Misalignment: steady 1x/2x; Bearing: high frequency. Diagnosis remains inconclusive if Tier 2 results lie within OEM/site baseline or point equally to two causes; then escalate to supervisor/OEM.</t>
  </si>
  <si>
    <t xml:space="preserve">LOTO and supervisor approval: remove guard, inspect hubs/element, replace element and check keys, align, refit. Requires supervisor approval and LOTO before work. Tools/expertise: qualified maintenance technician with OEM procedure.</t>
  </si>
  <si>
    <t xml:space="preserve">Coupling element; keys; hub bolts (part numbers/compatibility must come from OEM parts list)</t>
  </si>
  <si>
    <t xml:space="preserve">Inspect coupling periodically; alignment. Intervals: per OEM; none invented here.</t>
  </si>
  <si>
    <t xml:space="preserve">Dust; clatter.</t>
  </si>
  <si>
    <t xml:space="preserve">CASE-PUMP-015</t>
  </si>
  <si>
    <t xml:space="preserve">Jab discharge valve zyada band karke flow kam rakhte hain tab pump me vibration aur shaft ke paas seal/bearing ki taklif badhti hai. Casing ke andar se ghoomne jaisi awaaz aati hai. Normal flow par vibration kam ho jaata hai.</t>
  </si>
  <si>
    <t xml:space="preserve">Not confirmed - suspected: Low-flow internal recirculation causing radial loads and shaft deflection (suspected, unconfirmed).</t>
  </si>
  <si>
    <t xml:space="preserve">Component: shaft deflection. Equipment: seal/bearing wear. Operational: low flow limit. If ignored: seal failure, shaft fatigue.</t>
  </si>
  <si>
    <t xml:space="preserve">1. Valve throttled position -&gt; low flow. A negative finding does not rule this cause out.
2. Noise change with valve -&gt; flow-dependent. A negative finding does not rule this cause out.
3. Seal leakage onset -&gt; deflection effect. A negative finding does not rule this cause out.</t>
  </si>
  <si>
    <t xml:space="preserve">1. Flow vs OEM minimum flow | Instrument: Flow meter | Location: Per OEM / site procedure (measurement point to be marked on equipment) | Unit: m³/h (per meter) | Interpretation: below minimum
2. Vibration vs flow | Instrument: Analyser | Location: Per OEM / site procedure (measurement point to be marked on equipment) | Unit: mm/s or g (per instrument/standard) | Interpretation: flow dependence
3. Temperature rise in casing | Instrument: IR thermometer (non-contact) or process instrument | Location: Per OEM / site procedure (measurement point to be marked on equipment) | Unit: °C | Interpretation: heating</t>
  </si>
  <si>
    <t xml:space="preserve">LOTO and supervisor approval for intrusive checks: add bypass/minimum-flow, check impeller/shaft.</t>
  </si>
  <si>
    <t xml:space="preserve">Vibration</t>
  </si>
  <si>
    <t xml:space="preserve">Vibration and noise increase at reduced flow, easing at normal flow; seal/bearing stress.</t>
  </si>
  <si>
    <t xml:space="preserve">Running throttled (illustrative; no recorded readings)</t>
  </si>
  <si>
    <t xml:space="preserve">With low flow (illustrative)</t>
  </si>
  <si>
    <t xml:space="preserve">Impeller and Casing Volute</t>
  </si>
  <si>
    <t xml:space="preserve">PUMP.HYDR.RECR</t>
  </si>
  <si>
    <t xml:space="preserve">Low-Flow Recirculation</t>
  </si>
  <si>
    <t xml:space="preserve">FMEA_Taxonomy code and vocabulary FM-ID are linked by case-level judgement (no official join table). Shaft deflection has no taxonomy mode; mapped to Low-Flow Recirculation (cause) - AMBIGUOUS.</t>
  </si>
  <si>
    <t xml:space="preserve">Low-flow internal recirculation causing radial loads and shaft deflection (suspected, unconfirmed).</t>
  </si>
  <si>
    <t xml:space="preserve">Cavitation; misalignment; bearing wear.</t>
  </si>
  <si>
    <t xml:space="preserve">At low flow, flow separation creates unbalanced radial thrust deflecting the shaft.</t>
  </si>
  <si>
    <t xml:space="preserve">Cavitation: depends on suction; Misalignment: independent of flow. Diagnosis remains inconclusive if Tier 2 results lie within OEM/site baseline or point equally to two causes; then escalate to supervisor/OEM.</t>
  </si>
  <si>
    <t xml:space="preserve">LOTO and supervisor approval for intrusive checks: add bypass/minimum-flow, check impeller/shaft. Requires supervisor approval and LOTO before work. Tools/expertise: qualified maintenance technician with OEM procedure.</t>
  </si>
  <si>
    <t xml:space="preserve">Seal; bearings; shaft if damaged (part numbers/compatibility must come from OEM parts list)</t>
  </si>
  <si>
    <t xml:space="preserve">Respect OEM minimum flow. Intervals: per OEM; none invented here.</t>
  </si>
  <si>
    <t xml:space="preserve">Low-flow noise.</t>
  </si>
  <si>
    <t xml:space="preserve">S14; S01; S02; S03; S04; S05; S06; S10</t>
  </si>
  <si>
    <t xml:space="preserve">CASE-PUMP-016</t>
  </si>
  <si>
    <t xml:space="preserve">Flow aur pressure ka needle upar-niche hota rehta hai, kabhi kabhi gland ke paas se hawa ke bulbule ya halki hiss. Tank me bulbule bhi dikhte hain. Pump bilkul band nahi hota lekin delivery uneven hai.</t>
  </si>
  <si>
    <t xml:space="preserve">Not confirmed - suspected: Air ingress via suction joint or gland seal interface (suspected, unconfirmed).</t>
  </si>
  <si>
    <t xml:space="preserve">Component: joint leakage. Equipment: unstable delivery. Operational: supply variation. If ignored: dry run.</t>
  </si>
  <si>
    <t xml:space="preserve">1. Bubbles at flange/joints -&gt; leak path. A negative finding does not rule this cause out.
2. Hissing -&gt; air entry. A negative finding does not rule this cause out.
3. Tank vortex -&gt; intake. A negative finding does not rule this cause out.</t>
  </si>
  <si>
    <t xml:space="preserve">1. Suction pressure | Instrument: Gauge | Location: Per OEM / site procedure (measurement point to be marked on equipment) | Unit: bar or kPa (per gauge) | Interpretation: unstable
2. Discharge pressure | Instrument: Gauge | Location: Per OEM / site procedure (measurement point to be marked on equipment) | Unit: bar or kPa (per gauge) | Interpretation: oscillation
3. Vibration | Instrument: Vibration analyser / accelerometer | Location: Per OEM / site procedure (measurement point to be marked on equipment) | Unit: mm/s or g (per instrument/standard) | Interpretation: broadband</t>
  </si>
  <si>
    <t xml:space="preserve">LOTO and supervisor approval: replace joint gaskets/gland, retighten, vent.</t>
  </si>
  <si>
    <t xml:space="preserve">Fluctuating flow/pressure, air bubbles and hissing at gland/joints; no total flow loss.</t>
  </si>
  <si>
    <t xml:space="preserve">FMEA_Taxonomy code and vocabulary FM-ID are linked by case-level judgement (no official join table). Air ingress mapped to code Air Ingress / Loss of Prime; symptom FM-030 chosen - AMBIGUOUS.</t>
  </si>
  <si>
    <t xml:space="preserve">Air ingress via suction joint or gland seal interface (suspected, unconfirmed).</t>
  </si>
  <si>
    <t xml:space="preserve">Cavitation; blocked strainer; vortexing.</t>
  </si>
  <si>
    <t xml:space="preserve">Air enters suction and entrains, reducing head and causing pulsation.</t>
  </si>
  <si>
    <t xml:space="preserve">Cavitation: crackling; Prime loss: no flow. Diagnosis remains inconclusive if Tier 2 results lie within OEM/site baseline or point equally to two causes; then escalate to supervisor/OEM.</t>
  </si>
  <si>
    <t xml:space="preserve">LOTO and supervisor approval: replace joint gaskets/gland, retighten, vent. Requires supervisor approval and LOTO before work. Tools/expertise: qualified maintenance technician with OEM procedure.</t>
  </si>
  <si>
    <t xml:space="preserve">Gaskets; gland packing/seal (part numbers/compatibility must come from OEM parts list)</t>
  </si>
  <si>
    <t xml:space="preserve">Flange inspection. Intervals: per OEM; none invented here.</t>
  </si>
  <si>
    <t xml:space="preserve">Pressure oscillation.</t>
  </si>
  <si>
    <t xml:space="preserve">CASE-PUMP-017</t>
  </si>
  <si>
    <t xml:space="preserve">Shaft Assembly</t>
  </si>
  <si>
    <t xml:space="preserve">Pehle kaafi din se vibration aur bearing area me issue tha, ab achanak pump flow nahi de raha lekin motor halka load par chal raha hai. Coupling ke paas se alag awaaz thi aur phir band ho gayi.</t>
  </si>
  <si>
    <t xml:space="preserve">Not confirmed - suspected: Pump shaft fatigue fracture (suspected, unconfirmed).</t>
  </si>
  <si>
    <t xml:space="preserve">Component: shaft fracture. Equipment: no pumping, seal damage. Operational: outage. If ignored: further damage.</t>
  </si>
  <si>
    <t xml:space="preserve">1. Stop and keep distance -&gt; possible damage. A negative finding does not rule this cause out.
2. Coupling/shaft rotation visible -&gt; motor turning pump shaft?. A negative finding does not rule this cause out.
3. Loose parts/oil -&gt; damage. A negative finding does not rule this cause out.</t>
  </si>
  <si>
    <t xml:space="preserve">1. Motor current | Instrument: Clamp meter (qualified) | Location: Per OEM / site procedure (measurement point to be marked on equipment) | Unit: A | Interpretation: unloaded
2. Pressure | Instrument: Gauges | Location: Per OEM / site procedure (measurement point to be marked on equipment) | Unit: bar or kPa (per gauge) | Interpretation: zero
3. Vibration history | Instrument: Vibration analyser / accelerometer | Location: Per OEM / site procedure (measurement point to be marked on equipment) | Unit: mm/s or g (per instrument/standard) | Interpretation: chronic</t>
  </si>
  <si>
    <t xml:space="preserve">LOTO and supervisor approval: dismantle, replace shaft, inspect bearings/seals/impeller, correct root cause (misalignment/recirculation).</t>
  </si>
  <si>
    <t xml:space="preserve">Performance/Noise</t>
  </si>
  <si>
    <t xml:space="preserve">Long-running vibration then sudden loss of delivery with light motor load; abrupt change in noise.</t>
  </si>
  <si>
    <t xml:space="preserve">Sudden after chronic vibration (illustrative)</t>
  </si>
  <si>
    <t xml:space="preserve">Critical</t>
  </si>
  <si>
    <t xml:space="preserve">Pump Shaft</t>
  </si>
  <si>
    <t xml:space="preserve">PUMP.SHFT.SHAF</t>
  </si>
  <si>
    <t xml:space="preserve">Shaft Fatigue Fracture</t>
  </si>
  <si>
    <t xml:space="preserve">FMEA_Taxonomy code and vocabulary FM-ID are linked by case-level judgement (no official join table). FM-042 is a symptom of fracture; no fracture FM-ID - AMBIGUOUS.</t>
  </si>
  <si>
    <t xml:space="preserve">Pump shaft fatigue fracture (suspected, unconfirmed).</t>
  </si>
  <si>
    <t xml:space="preserve">Coupling failure; impeller loose; loss of prime.</t>
  </si>
  <si>
    <t xml:space="preserve">Cyclic bending stress initiates cracks that propagate until fracture.</t>
  </si>
  <si>
    <t xml:space="preserve">Coupling failure: shaft intact; Prime loss: shaft turns. Diagnosis remains inconclusive if Tier 2 results lie within OEM/site baseline or point equally to two causes; then escalate to supervisor/OEM.</t>
  </si>
  <si>
    <t xml:space="preserve">LOTO and supervisor approval: dismantle, replace shaft, inspect bearings/seals/impeller, correct root cause (misalignment/recirculation). Requires supervisor approval and LOTO before work. Tools/expertise: qualified maintenance technician with OEM procedure.</t>
  </si>
  <si>
    <t xml:space="preserve">Shaft; bearings; seal; impeller key (part numbers/compatibility must come from OEM parts list)</t>
  </si>
  <si>
    <t xml:space="preserve">Address vibration early. Intervals: per OEM; none invented here.</t>
  </si>
  <si>
    <t xml:space="preserve">Chronic vibration.</t>
  </si>
  <si>
    <t xml:space="preserve">CASE-MOT-001</t>
  </si>
  <si>
    <t xml:space="preserve">Raw Material Processing Line</t>
  </si>
  <si>
    <t xml:space="preserve">Three-Phase Induction Motor</t>
  </si>
  <si>
    <t xml:space="preserve">Siemens 1LE1</t>
  </si>
  <si>
    <t xml:space="preserve">Stator Windings</t>
  </si>
  <si>
    <t xml:space="preserve">Motor chalte hi trip ho jata hai aur jalne ki smell aa rahi hai</t>
  </si>
  <si>
    <t xml:space="preserve">Insulation Breakdown</t>
  </si>
  <si>
    <t xml:space="preserve">Winding turn-to-turn short from chronic overheating and moisture</t>
  </si>
  <si>
    <t xml:space="preserve">Motor trip on overcurrent/earth fault; downstream process stoppage</t>
  </si>
  <si>
    <t xml:space="preserve">Do NOT restart repeatedly. Check for burnt smell, discolouration on terminal box, signs of water ingress; confirm isolation before opening terminal box.</t>
  </si>
  <si>
    <t xml:space="preserve">Handheld IR on casing; clamp meter current per phase (after safe restart permission); insulation resistance test by authorised electrician with motor isolated.</t>
  </si>
  <si>
    <t xml:space="preserve">Supervisor-approved: remove motor, rewind or replace; fix moisture source; review protection settings.</t>
  </si>
  <si>
    <t xml:space="preserve">NEMA MG-1 Part 31 Inverter Fed Motors / IEEE Std 519</t>
  </si>
  <si>
    <t xml:space="preserve">EQ-MOTOR</t>
  </si>
  <si>
    <t xml:space="preserve">FM-028 (provisional)</t>
  </si>
  <si>
    <t xml:space="preserve">Electrical/Protection</t>
  </si>
  <si>
    <t xml:space="preserve">Motor start karte hi kuch second me trip ho jaata hai aur terminal box ke paas jalne ki smell aati hai. Motor kaafi garam rehta tha aur barish me pani aata tha. Overcurrent/earth fault indication aa raha hai.</t>
  </si>
  <si>
    <t xml:space="preserve">Trips within seconds of start; burning smell; history of overheating and moisture; overcurrent/earth fault indication.</t>
  </si>
  <si>
    <t xml:space="preserve">Start/trip (illustrative; no recorded readings)</t>
  </si>
  <si>
    <t xml:space="preserve">Every start attempt (illustrative)</t>
  </si>
  <si>
    <t xml:space="preserve">Stator &amp; Windings</t>
  </si>
  <si>
    <t xml:space="preserve">Winding Insulation (Copper Magnet Wire and Varnish)</t>
  </si>
  <si>
    <t xml:space="preserve">ELEC.MOT.STAT</t>
  </si>
  <si>
    <t xml:space="preserve">FM-028</t>
  </si>
  <si>
    <t xml:space="preserve">Insulation resistance degradation</t>
  </si>
  <si>
    <t xml:space="preserve">Winding turn-to-turn short from chronic overheating and moisture (suspected, unconfirmed).</t>
  </si>
  <si>
    <t xml:space="preserve">Terminal fault; phase-to-ground fault; supply fault; locked rotor.</t>
  </si>
  <si>
    <t xml:space="preserve">Insulation ageing under heat/moisture breaks down between turns, creating shorted loops and heating.</t>
  </si>
  <si>
    <t xml:space="preserve">Component: winding failure. Equipment: motor cannot run. Operational: drive stopped. If ignored: burnout, fire risk.</t>
  </si>
  <si>
    <t xml:space="preserve">1. Burning smell/discolouration -&gt; thermal damage. A negative finding does not rule this cause out.
2. Moisture/dirt at terminal box exterior -&gt; ingress. A negative finding does not rule this cause out.
3. Protection indication -&gt; fault type. A negative finding does not rule this cause out.</t>
  </si>
  <si>
    <t xml:space="preserve">Do not open terminal box or touch conductors while energised; electrical measurements only by qualified personnel under approved procedure; keep guards fitted; Tier 3 only after electrical isolation, LOTO and supervisor approval.</t>
  </si>
  <si>
    <t xml:space="preserve">1. Insulation resistance and polarization index | Instrument: Insulation tester (qualified, de-energised, per IEEE 43 practice) | Location: Per OEM / site procedure (measurement point to be marked on equipment) | Unit: MΩ | Interpretation: low or falling values suggest insulation degradation; thresholds per OEM/standard
2. Winding resistance by phase | Instrument: Micro-ohmmeter (qualified) | Location: Per OEM / site procedure (measurement point to be marked on equipment) | Unit: Ω / mΩ | Interpretation: asymmetry suggests shorted turns
3. Supply voltage | Instrument: Meter | Location: Per OEM / site procedure (measurement point to be marked on equipment) | Unit: V | Interpretation: rule out supply</t>
  </si>
  <si>
    <t xml:space="preserve">Supply fault: phase voltage abnormal; Locked rotor: hum, high current; Terminal fault: local damage. Diagnosis remains inconclusive if Tier 2 results lie within OEM/site baseline or point equally to two causes; then escalate to supervisor/OEM.</t>
  </si>
  <si>
    <t xml:space="preserve">LOTO and supervisor approval: isolate, test/inspect, rewind or replace motor (qualified shop), dry and varnish if applicable. Requires supervisor approval and LOTO before work. Tools/expertise: qualified maintenance technician with OEM procedure.</t>
  </si>
  <si>
    <t xml:space="preserve">Rewind kit/motor; terminal gaskets (part numbers/compatibility must come from OEM parts list)</t>
  </si>
  <si>
    <t xml:space="preserve">Keep motor dry/clean; periodic insulation tests. Intervals: per OEM; none invented here.</t>
  </si>
  <si>
    <t xml:space="preserve">Falling IR; heating.</t>
  </si>
  <si>
    <t xml:space="preserve">S14; S01; S02; S10; S11</t>
  </si>
  <si>
    <t xml:space="preserve">CASE-MOT-002</t>
  </si>
  <si>
    <t xml:space="preserve">Main Conveyor Drive</t>
  </si>
  <si>
    <t xml:space="preserve">Marathon Blue Max</t>
  </si>
  <si>
    <t xml:space="preserve">Motor ka peeche wala bearing bahut garam hai aur ghurr-ghurr awaaz hai</t>
  </si>
  <si>
    <t xml:space="preserve">Bearing Overheating (Lubrication Failure)</t>
  </si>
  <si>
    <t xml:space="preserve">Over-greasing with incompatible grease</t>
  </si>
  <si>
    <t xml:space="preserve">Bearing seizure risk; motor thermal trip</t>
  </si>
  <si>
    <t xml:space="preserve">Check grease nipple condition and for grease purge; verify fan cowl is clean and intact; check nameplate relube interval record.</t>
  </si>
  <si>
    <t xml:space="preserve">Handheld IR: DE/NDE bearing temperature vs. baseline; vibration pen: velocity and bearing condition readings.</t>
  </si>
  <si>
    <t xml:space="preserve">With LOTO and supervisor approval: clean old grease, regrease with correct type and quantity, replace bearing if damaged; re-run and trend temperature.</t>
  </si>
  <si>
    <t xml:space="preserve">FM-035</t>
  </si>
  <si>
    <t xml:space="preserve">Temperature/Noise</t>
  </si>
  <si>
    <t xml:space="preserve">Motor ka peeche (non-drive end) wala bearing bahut garam hai aur ghurr-ghurr awaaz aa rahi hai. Pichle maintenance me bahut zyada grease bhari gayi thi aur alag brand ka grease use hua. Grease relief se bahar nikal rahi hai.</t>
  </si>
  <si>
    <t xml:space="preserve">Hot rear bearing with growling noise; recent excess/incompatible grease; grease extruding.</t>
  </si>
  <si>
    <t xml:space="preserve">Continuous after greasing (illustrative)</t>
  </si>
  <si>
    <t xml:space="preserve">Drive-End Bearing and Grease</t>
  </si>
  <si>
    <t xml:space="preserve">ELEC.MOT.BRNG</t>
  </si>
  <si>
    <t xml:space="preserve">Motor bearing overheating</t>
  </si>
  <si>
    <t xml:space="preserve">Over-greasing with incompatible grease (suspected, unconfirmed).</t>
  </si>
  <si>
    <t xml:space="preserve">Misalignment; bearing wear; electrical discharge damage; cooling issue.</t>
  </si>
  <si>
    <t xml:space="preserve">Excess grease causes churning heat; incompatible grease degrades film.</t>
  </si>
  <si>
    <t xml:space="preserve">Component: bearing heating. Equipment: seizure risk. Operational: possible trip. If ignored: bearing failure.</t>
  </si>
  <si>
    <t xml:space="preserve">1. Grease extruded at drain/relief -&gt; overfilled. A negative finding does not rule this cause out.
2. Discolouration/heat -&gt; overheating. A negative finding does not rule this cause out.
3. Grease records -&gt; type/quantity. A negative finding does not rule this cause out.</t>
  </si>
  <si>
    <t xml:space="preserve">1. Bearing temperature | Instrument: IR thermometer | Location: Per OEM / site procedure (measurement point to be marked on equipment) | Unit: °C | Interpretation: vs baseline
2. Vibration spectrum | Instrument: Analyser | Location: Per OEM / site procedure (measurement point to be marked on equipment) | Unit: mm/s or g (per instrument/standard) | Interpretation: bearing damage indicators
3. Motor current | Instrument: Clamp meter (qualified person) | Location: Per OEM / site procedure (measurement point to be marked on equipment) | Unit: A | Interpretation: normal</t>
  </si>
  <si>
    <t xml:space="preserve">Misalignment: 1x/2x; EDM: fluting; Lubrication-starved: dry grease. Diagnosis remains inconclusive if Tier 2 results lie within OEM/site baseline or point equally to two causes; then escalate to supervisor/OEM.</t>
  </si>
  <si>
    <t xml:space="preserve">LOTO and supervisor approval: purge old grease, inspect/replace bearing, refill correct grease and quantity per OEM. Requires supervisor approval and LOTO before work. Tools/expertise: qualified maintenance technician with OEM procedure.</t>
  </si>
  <si>
    <t xml:space="preserve">Bearings; grease per OEM (part numbers/compatibility must come from OEM parts list)</t>
  </si>
  <si>
    <t xml:space="preserve">Grease procedure; compatibility. Intervals: per OEM; none invented here.</t>
  </si>
  <si>
    <t xml:space="preserve">Temperature trend.</t>
  </si>
  <si>
    <t xml:space="preserve">S14; S01; S02; S03; S04; S05; S10; S11</t>
  </si>
  <si>
    <t xml:space="preserve">CASE-MOT-003</t>
  </si>
  <si>
    <t xml:space="preserve">Compressed Air Line</t>
  </si>
  <si>
    <t xml:space="preserve">Crompton Greaves IE3</t>
  </si>
  <si>
    <t xml:space="preserve">Stator winding and cooling system</t>
  </si>
  <si>
    <t xml:space="preserve">High winding temperature; thermal protection warnings</t>
  </si>
  <si>
    <t xml:space="preserve">Motor overheating</t>
  </si>
  <si>
    <t xml:space="preserve">Blocked cooling air passages (illustrative - unverified)</t>
  </si>
  <si>
    <t xml:space="preserve">Isolate electrical supply before maintenance</t>
  </si>
  <si>
    <t xml:space="preserve">Review load; current; voltage balance; cooling airflow</t>
  </si>
  <si>
    <t xml:space="preserve">Clean cooling passages and restore airflow</t>
  </si>
  <si>
    <t xml:space="preserve">Synthetic - pending expert validation. Source verification step: Monitor winding temperature under normal load</t>
  </si>
  <si>
    <t xml:space="preserve">SKF Bearing Maintenance &amp; Failure Analysis Guide / ISO 14224:2016</t>
  </si>
  <si>
    <t xml:space="preserve">FM-039</t>
  </si>
  <si>
    <t xml:space="preserve">OS-011</t>
  </si>
  <si>
    <t xml:space="preserve">Motor body bahut garam hai, thermal protection warning aa raha hai. Fan cowl ke jaali me dhool/ruii jam gayi hai aur motor dhool bhare area me hai. Load normal hai.</t>
  </si>
  <si>
    <t xml:space="preserve">High body/winding temperature and thermal warnings; dust-clogged cowl; normal load.</t>
  </si>
  <si>
    <t xml:space="preserve">Cooling System</t>
  </si>
  <si>
    <t xml:space="preserve">Cooling Fan and Cowl</t>
  </si>
  <si>
    <t xml:space="preserve">ELEC.MOT.COOL</t>
  </si>
  <si>
    <t xml:space="preserve">Cooling Airflow Blockage</t>
  </si>
  <si>
    <t xml:space="preserve">Blocked cooling air passages (suspected, unconfirmed).</t>
  </si>
  <si>
    <t xml:space="preserve">Overload; voltage problem; fan damage; high ambient.</t>
  </si>
  <si>
    <t xml:space="preserve">Reduced airflow lowers heat removal so winding temperature rises.</t>
  </si>
  <si>
    <t xml:space="preserve">Component: insulation ageing. Equipment: thermal trip. Operational: derating. If ignored: insulation failure.</t>
  </si>
  <si>
    <t xml:space="preserve">1. Dust on cowl/fins -&gt; blockage. A negative finding does not rule this cause out.
2. Free air path -&gt; obstruction. A negative finding does not rule this cause out.
3. Temperature alarm -&gt; severity. A negative finding does not rule this cause out.</t>
  </si>
  <si>
    <t xml:space="preserve">1. Winding/frame temperature | Instrument: IR thermometer/RTD reading | Location: Per OEM / site procedure (measurement point to be marked on equipment) | Unit: °C | Interpretation: vs OEM class
2. Phase currents | Instrument: Clamp meter | Location: Per OEM / site procedure (measurement point to be marked on equipment) | Unit: A | Interpretation: normal supports cooling cause
3. Ambient temperature | Instrument: IR thermometer (non-contact) or process instrument | Location: Per OEM / site procedure (measurement point to be marked on equipment) | Unit: °C | Interpretation: context</t>
  </si>
  <si>
    <t xml:space="preserve">Overload: high current; Voltage fault: current/voltage abnormal. Diagnosis remains inconclusive if Tier 2 results lie within OEM/site baseline or point equally to two causes; then escalate to supervisor/OEM.</t>
  </si>
  <si>
    <t xml:space="preserve">LOTO and supervisor approval: clean fins/cowl, inspect fan, restore airflow. Requires supervisor approval and LOTO before work. Tools/expertise: qualified maintenance technician with OEM procedure.</t>
  </si>
  <si>
    <t xml:space="preserve">Fan/cowl if damaged (part numbers/compatibility must come from OEM parts list)</t>
  </si>
  <si>
    <t xml:space="preserve">Cleaning schedule. Intervals: per OEM; none invented here.</t>
  </si>
  <si>
    <t xml:space="preserve">Temperature creep.</t>
  </si>
  <si>
    <t xml:space="preserve">CASE-MOT-004</t>
  </si>
  <si>
    <t xml:space="preserve">Exhaust Blower Drive</t>
  </si>
  <si>
    <t xml:space="preserve">Schneider Process Motors</t>
  </si>
  <si>
    <t xml:space="preserve">Starter circuit and motor supply</t>
  </si>
  <si>
    <t xml:space="preserve">Motor does not rotate after start command</t>
  </si>
  <si>
    <t xml:space="preserve">Motor fails to start</t>
  </si>
  <si>
    <t xml:space="preserve">Overload relay tripped (illustrative - unverified)</t>
  </si>
  <si>
    <t xml:space="preserve">Electrical troubleshooting by qualified personnel only</t>
  </si>
  <si>
    <t xml:space="preserve">Review alarms; supply availability; control signals; protection status</t>
  </si>
  <si>
    <t xml:space="preserve">Identify and resolve underlying overload before authorized reset</t>
  </si>
  <si>
    <t xml:space="preserve">Synthetic - pending expert validation. Source verification step: Confirm successful controlled start</t>
  </si>
  <si>
    <t xml:space="preserve">IEEE Std 1015 / NEMA MG-1 Motors and Generators Section 14</t>
  </si>
  <si>
    <t xml:space="preserve">FM-037</t>
  </si>
  <si>
    <t xml:space="preserve">OS-012</t>
  </si>
  <si>
    <t xml:space="preserve">Starting</t>
  </si>
  <si>
    <t xml:space="preserve">Start button dabane par motor nahi ghoomta aur contactor chalta hai phir overload relay trip dikhta hai. Pehle thodi garam chal raha tha. Reset karne par kuch der baad phir trip.</t>
  </si>
  <si>
    <t xml:space="preserve">No rotation on start; contactor operates then overload trips; recent warm running.</t>
  </si>
  <si>
    <t xml:space="preserve">Start attempt (illustrative; no recorded readings)</t>
  </si>
  <si>
    <t xml:space="preserve">Repeated (illustrative)</t>
  </si>
  <si>
    <t xml:space="preserve">Overload relay tripped by sustained overcurrent or setting issue (suspected, unconfirmed).</t>
  </si>
  <si>
    <t xml:space="preserve">Supply fault; jammed load; winding fault; control circuit fault.</t>
  </si>
  <si>
    <t xml:space="preserve">Thermal element operates after prolonged high current.</t>
  </si>
  <si>
    <t xml:space="preserve">Component: protection operation. Equipment: not started. Operational: outage. If ignored: repeated resets damage motor.</t>
  </si>
  <si>
    <t xml:space="preserve">1. Relay trip flag/setting -&gt; state. A negative finding does not rule this cause out.
2. Mechanical jam visible -&gt; load stuck. A negative finding does not rule this cause out.
3. Supply indication -&gt; power present. A negative finding does not rule this cause out.</t>
  </si>
  <si>
    <t xml:space="preserve">1. Supply voltage | Instrument: Meter (qualified) | Location: Per OEM / site procedure (measurement point to be marked on equipment) | Unit: V | Interpretation: confirm
2. Running current | Instrument: Clamp meter | Location: Per OEM / site procedure (measurement point to be marked on equipment) | Unit: A | Interpretation: vs rating
3. Control voltage | Instrument: Multimeter (qualified person) | Location: Per OEM / site procedure (measurement point to be marked on equipment) | Unit: V | Interpretation: command present</t>
  </si>
  <si>
    <t xml:space="preserve">Single-phasing: unbalanced; Jam: high current/hum. Diagnosis remains inconclusive if Tier 2 results lie within OEM/site baseline or point equally to two causes; then escalate to supervisor/OEM.</t>
  </si>
  <si>
    <t xml:space="preserve">LOTO and supervisor approval: check for jam, verify relay setting with electrician, repair root cause. Requires supervisor approval and LOTO before work. Tools/expertise: qualified maintenance technician with OEM procedure.</t>
  </si>
  <si>
    <t xml:space="preserve">Overload relay if faulty (part numbers/compatibility must come from OEM parts list)</t>
  </si>
  <si>
    <t xml:space="preserve">Verify settings. Intervals: per OEM; none invented here.</t>
  </si>
  <si>
    <t xml:space="preserve">Repeated nuisance trips.</t>
  </si>
  <si>
    <t xml:space="preserve">CASE-MOT-005</t>
  </si>
  <si>
    <t xml:space="preserve">Rotor and bearings</t>
  </si>
  <si>
    <t xml:space="preserve">Increased vibration; unusual mechanical noise</t>
  </si>
  <si>
    <t xml:space="preserve">Motor excessive vibration</t>
  </si>
  <si>
    <t xml:space="preserve">Rotor imbalance (illustrative - unverified)</t>
  </si>
  <si>
    <t xml:space="preserve">Use approved balancing equipment and procedures</t>
  </si>
  <si>
    <t xml:space="preserve">Perform vibration analysis; inspect mounting; assess alignment</t>
  </si>
  <si>
    <t xml:space="preserve">Correct imbalance using an approved balancing procedure</t>
  </si>
  <si>
    <t xml:space="preserve">Synthetic - pending expert validation. Source verification step: Compare vibration levels with established baseline</t>
  </si>
  <si>
    <t xml:space="preserve">FM-036</t>
  </si>
  <si>
    <t xml:space="preserve">OS-013</t>
  </si>
  <si>
    <t xml:space="preserve">Motor me vibration badh gayi hai aur halki mechanical awaaz hai. Coupling disconnect karne par bhi vibration rehti hai. Speed ke saath vibration badhta hai.</t>
  </si>
  <si>
    <t xml:space="preserve">Increased vibration persisting uncoupled; speed-proportional.</t>
  </si>
  <si>
    <t xml:space="preserve">Rotor Assembly</t>
  </si>
  <si>
    <t xml:space="preserve">Rotor Core and Shaft</t>
  </si>
  <si>
    <t xml:space="preserve">ELEC.MOT.IMBL</t>
  </si>
  <si>
    <t xml:space="preserve">Rotor Imbalance</t>
  </si>
  <si>
    <t xml:space="preserve">Rotor imbalance (suspected, unconfirmed).</t>
  </si>
  <si>
    <t xml:space="preserve">Soft foot; misalignment; bearing damage; bent shaft.</t>
  </si>
  <si>
    <t xml:space="preserve">Uneven mass produces 1x centrifugal force.</t>
  </si>
  <si>
    <t xml:space="preserve">Component: bearing load. Equipment: vibration. Operational: noise. If ignored: bearing failure.</t>
  </si>
  <si>
    <t xml:space="preserve">1. Visible loose parts -&gt; debris. A negative finding does not rule this cause out.
2. Mount condition -&gt; looseness. A negative finding does not rule this cause out.
3. Noise -&gt; type. A negative finding does not rule this cause out.</t>
  </si>
  <si>
    <t xml:space="preserve">1. Vibration 1x radial | Instrument: Analyser | Location: Per OEM / site procedure (measurement point to be marked on equipment) | Unit: mm/s or g (per instrument/standard) | Interpretation: dominant 1x
2. Phase | Instrument: Analyser | Location: Per OEM / site procedure (measurement point to be marked on equipment) | Unit: Per instrument | Interpretation: imbalance signature
3. Run uncoupled test (approved) | Instrument: Instrument to be selected by qualified person | Location: Per OEM / site procedure (measurement point to be marked on equipment) | Unit: Per instrument | Interpretation: isolates motor</t>
  </si>
  <si>
    <t xml:space="preserve">Misalignment: axial; Looseness: harmonics. Diagnosis remains inconclusive if Tier 2 results lie within OEM/site baseline or point equally to two causes; then escalate to supervisor/OEM.</t>
  </si>
  <si>
    <t xml:space="preserve">LOTO and supervisor approval: balance rotor (qualified shop), inspect shaft. Requires supervisor approval and LOTO before work. Tools/expertise: qualified maintenance technician with OEM procedure.</t>
  </si>
  <si>
    <t xml:space="preserve">Balance weights; bearings (part numbers/compatibility must come from OEM parts list)</t>
  </si>
  <si>
    <t xml:space="preserve">Balance after repair. Intervals: per OEM; none invented here.</t>
  </si>
  <si>
    <t xml:space="preserve">1x rise.</t>
  </si>
  <si>
    <t xml:space="preserve">S14; S01; S02; S03; S04; S10; S11</t>
  </si>
  <si>
    <t xml:space="preserve">CASE-MOT-006</t>
  </si>
  <si>
    <t xml:space="preserve">Drive-end bearing</t>
  </si>
  <si>
    <t xml:space="preserve">Localized heating; abnormal bearing noise</t>
  </si>
  <si>
    <t xml:space="preserve">Excessive grease application (illustrative - unverified)</t>
  </si>
  <si>
    <t xml:space="preserve">Isolate motor and avoid contact with hot components</t>
  </si>
  <si>
    <t xml:space="preserve">Review lubrication history; bearing condition; alignment</t>
  </si>
  <si>
    <t xml:space="preserve">Correct lubrication according to bearing manufacturer's specification</t>
  </si>
  <si>
    <t xml:space="preserve">IEEE Std 43-2013 / ISO 14224:2016 / EASA Motor Repair Guidelines</t>
  </si>
  <si>
    <t xml:space="preserve">OS-014</t>
  </si>
  <si>
    <t xml:space="preserve">Motor ka drive-end bearing garam ho raha hai, grease sukhi aur kaali dikhti hai aur relubrication kaafi time se nahi hui. Garmi ke mausam me aur badh jaata hai. Halki squeal awaaz hai.</t>
  </si>
  <si>
    <t xml:space="preserve">DE bearing hot; hardened dark grease; overdue relubrication; worse in hot weather; squeal.</t>
  </si>
  <si>
    <t xml:space="preserve">Grease degradation/under-lubrication from overdue relubrication and high ambient (suspected, unconfirmed).</t>
  </si>
  <si>
    <t xml:space="preserve">Over-greasing; misalignment; bearing wear.</t>
  </si>
  <si>
    <t xml:space="preserve">Dry degraded grease increases friction heat.</t>
  </si>
  <si>
    <t xml:space="preserve">Component: bearing wear. Equipment: heating. Operational: trip risk. If ignored: seizure.</t>
  </si>
  <si>
    <t xml:space="preserve">1. Grease condition -&gt; dry. A negative finding does not rule this cause out.
2. Relubrication record -&gt; overdue. A negative finding does not rule this cause out.
3. Ambient/ventilation -&gt; heat. A negative finding does not rule this cause out.</t>
  </si>
  <si>
    <t xml:space="preserve">1. Bearing temperature | Instrument: IR thermometer | Location: Per OEM / site procedure (measurement point to be marked on equipment) | Unit: °C | Interpretation: vs baseline
2. Vibration/acoustic | Instrument: Vibration analyser / accelerometer | Location: Per OEM / site procedure (measurement point to be marked on equipment) | Unit: mm/s or g (per instrument/standard) | Interpretation: friction
3. Current | Instrument: Clamp meter (qualified person) | Location: Per OEM / site procedure (measurement point to be marked on equipment) | Unit: A | Interpretation: normal</t>
  </si>
  <si>
    <t xml:space="preserve">Over-greasing: grease extruded; EDM: fluting. Diagnosis remains inconclusive if Tier 2 results lie within OEM/site baseline or point equally to two causes; then escalate to supervisor/OEM.</t>
  </si>
  <si>
    <t xml:space="preserve">LOTO and supervisor approval: regrease/replace bearing per OEM. Requires supervisor approval and LOTO before work. Tools/expertise: qualified maintenance technician with OEM procedure.</t>
  </si>
  <si>
    <t xml:space="preserve">Bearing; grease (part numbers/compatibility must come from OEM parts list)</t>
  </si>
  <si>
    <t xml:space="preserve">Relubrication schedule. Intervals: per OEM; none invented here.</t>
  </si>
  <si>
    <t xml:space="preserve">Temp trend.</t>
  </si>
  <si>
    <t xml:space="preserve">CASE-MOT-007</t>
  </si>
  <si>
    <t xml:space="preserve">WEG W22 Premium</t>
  </si>
  <si>
    <t xml:space="preserve">Motor and overload protection</t>
  </si>
  <si>
    <t xml:space="preserve">Repeated overload trips during production</t>
  </si>
  <si>
    <t xml:space="preserve">Repeated motor overload trips</t>
  </si>
  <si>
    <t xml:space="preserve">Excessive driven-equipment load (illustrative - unverified)</t>
  </si>
  <si>
    <t xml:space="preserve">Never increase overload settings to hide the problem</t>
  </si>
  <si>
    <t xml:space="preserve">Examine current per phase; voltage; mechanical load; trip records</t>
  </si>
  <si>
    <t xml:space="preserve">Correct abnormal mechanical loading</t>
  </si>
  <si>
    <t xml:space="preserve">Synthetic - pending expert validation. Source verification step: Confirm current remains within motor rated operating limits</t>
  </si>
  <si>
    <t xml:space="preserve">FM-047</t>
  </si>
  <si>
    <t xml:space="preserve">OS-015</t>
  </si>
  <si>
    <t xml:space="preserve">Production ke time motor baar baar overload par trip hota hai, line load badhne par zyada. Current nameplate se upar dikhta hai. Motor garam hai.</t>
  </si>
  <si>
    <t xml:space="preserve">Repeated overload trips at higher production load; current above nameplate; warm.</t>
  </si>
  <si>
    <t xml:space="preserve">Excessive driven-equipment load (suspected, unconfirmed).</t>
  </si>
  <si>
    <t xml:space="preserve">Voltage drop; mechanical binding; bearing issue; wrong setting.</t>
  </si>
  <si>
    <t xml:space="preserve">Load torque exceeds rating, raising current.</t>
  </si>
  <si>
    <t xml:space="preserve">Component: thermal stress. Equipment: trips. Operational: lost output. If ignored: burnout.</t>
  </si>
  <si>
    <t xml:space="preserve">1. Process load change -&gt; overload. A negative finding does not rule this cause out.
2. Jam -&gt; mechanical. A negative finding does not rule this cause out.
3. Relay indication -&gt; trip. A negative finding does not rule this cause out.</t>
  </si>
  <si>
    <t xml:space="preserve">1. Current vs nameplate | Instrument: Clamp meter | Location: Per OEM / site procedure (measurement point to be marked on equipment) | Unit: A | Interpretation: high
2. Voltage | Instrument: Multimeter (qualified person) | Location: Per OEM / site procedure (measurement point to be marked on equipment) | Unit: V | Interpretation: low?
3. Driven equipment condition | Instrument: Instrument to be selected by qualified person | Location: Per OEM / site procedure (measurement point to be marked on equipment) | Unit: Per instrument | Interpretation: drag</t>
  </si>
  <si>
    <t xml:space="preserve">Voltage low: current high with low volts; Drag: noise. Diagnosis remains inconclusive if Tier 2 results lie within OEM/site baseline or point equally to two causes; then escalate to supervisor/OEM.</t>
  </si>
  <si>
    <t xml:space="preserve">LOTO and supervisor approval: reduce load/repair driven equipment, verify protection. Requires supervisor approval and LOTO before work. Tools/expertise: qualified maintenance technician with OEM procedure.</t>
  </si>
  <si>
    <t xml:space="preserve">As required (part numbers/compatibility must come from OEM parts list)</t>
  </si>
  <si>
    <t xml:space="preserve">Load review. Intervals: per OEM; none invented here.</t>
  </si>
  <si>
    <t xml:space="preserve">CASE-MOT-008</t>
  </si>
  <si>
    <t xml:space="preserve">Rotor and starting circuit</t>
  </si>
  <si>
    <t xml:space="preserve">Humming sound without normal shaft rotation</t>
  </si>
  <si>
    <t xml:space="preserve">Motor hums but does not rotate</t>
  </si>
  <si>
    <t xml:space="preserve">Loss of one supply phase (illustrative - unverified)</t>
  </si>
  <si>
    <t xml:space="preserve">Isolate all electrical sources before inspection</t>
  </si>
  <si>
    <t xml:space="preserve">Review phase availability; starter status; mechanical condition</t>
  </si>
  <si>
    <t xml:space="preserve">Repair supply fault and inspect for thermal damage</t>
  </si>
  <si>
    <t xml:space="preserve">Synthetic - pending expert validation. Source verification step: Verify all phases and perform authorized test run</t>
  </si>
  <si>
    <t xml:space="preserve">FM-038</t>
  </si>
  <si>
    <t xml:space="preserve">OS-016</t>
  </si>
  <si>
    <t xml:space="preserve">Starting/Electrical</t>
  </si>
  <si>
    <t xml:space="preserve">Motor hum karta hai lekin ghoomta nahi, ya ghoomne par bahut dheere aur garam ho jaata hai. Ek phase ka fuse udha hua lagta hai. Motor se zor ki bhanbhanahat hai.</t>
  </si>
  <si>
    <t xml:space="preserve">Humming without rotation (or weak rotation) and heating; one fuse suspect.</t>
  </si>
  <si>
    <t xml:space="preserve">Every start (illustrative)</t>
  </si>
  <si>
    <t xml:space="preserve">Power Supply</t>
  </si>
  <si>
    <t xml:space="preserve">Supply Phase Conductors, Fuses and Contactor</t>
  </si>
  <si>
    <t xml:space="preserve">ELEC.MOT.SUPP</t>
  </si>
  <si>
    <t xml:space="preserve">Single-Phasing (Phase Loss)</t>
  </si>
  <si>
    <t xml:space="preserve">Loss of one supply phase (single-phasing) (suspected, unconfirmed).</t>
  </si>
  <si>
    <t xml:space="preserve">Locked rotor; winding open; contactor fault.</t>
  </si>
  <si>
    <t xml:space="preserve">Without third phase, no rotating field.</t>
  </si>
  <si>
    <t xml:space="preserve">Component: winding heating. Equipment: not running. Operational: outage. If ignored: burnout.</t>
  </si>
  <si>
    <t xml:space="preserve">1. Fuse/breaker status -&gt; open. A negative finding does not rule this cause out.
2. Contactor chatter -&gt; poor contact. A negative finding does not rule this cause out.
3. Hum -&gt; single-phasing sign. A negative finding does not rule this cause out.</t>
  </si>
  <si>
    <t xml:space="preserve">1. Phase voltages | Instrument: Meter (qualified) | Location: Per OEM / site procedure (measurement point to be marked on equipment) | Unit: V | Interpretation: one missing
2. Phase currents | Instrument: Clamp meter (qualified person) | Location: Per OEM / site procedure (measurement point to be marked on equipment) | Unit: A | Interpretation: unbalanced
3. Continuity (isolated) | Instrument: Instrument to be selected by qualified person | Location: Per OEM / site procedure (measurement point to be marked on equipment) | Unit: Per instrument | Interpretation: open conductor</t>
  </si>
  <si>
    <t xml:space="preserve">Locked rotor: all phases high current. Diagnosis remains inconclusive if Tier 2 results lie within OEM/site baseline or point equally to two causes; then escalate to supervisor/OEM.</t>
  </si>
  <si>
    <t xml:space="preserve">LOTO and supervisor approval: repair supply, replace fuse/contactor, test. Requires supervisor approval and LOTO before work. Tools/expertise: qualified maintenance technician with OEM procedure.</t>
  </si>
  <si>
    <t xml:space="preserve">Fuse; contactor (part numbers/compatibility must come from OEM parts list)</t>
  </si>
  <si>
    <t xml:space="preserve">Phase-loss protection. Intervals: per OEM; none invented here.</t>
  </si>
  <si>
    <t xml:space="preserve">Fuse faults.</t>
  </si>
  <si>
    <t xml:space="preserve">CASE-MOT-009</t>
  </si>
  <si>
    <t xml:space="preserve">Stator winding insulation</t>
  </si>
  <si>
    <t xml:space="preserve">Declining insulation resistance; insulation monitoring alarms</t>
  </si>
  <si>
    <t xml:space="preserve">Moisture ingress (illustrative - unverified)</t>
  </si>
  <si>
    <t xml:space="preserve">Disconnect sensitive electronics before insulation testing where required</t>
  </si>
  <si>
    <t xml:space="preserve">Review insulation test history; inspect winding condition</t>
  </si>
  <si>
    <t xml:space="preserve">Dry and restore insulation using an approved process</t>
  </si>
  <si>
    <t xml:space="preserve">Synthetic - pending expert validation. Source verification step: Repeat insulation tests using applicable standard and manufacturer procedure</t>
  </si>
  <si>
    <t xml:space="preserve">OS-017</t>
  </si>
  <si>
    <t xml:space="preserve">Electrical</t>
  </si>
  <si>
    <t xml:space="preserve">Insulation monitoring alarm aa raha hai aur megger reading pehle se kam aati hai, khaaskar monsoon me. Motor chal raha hai lekin pani ka nishaan terminal box me hai.</t>
  </si>
  <si>
    <t xml:space="preserve">Insulation alarm; falling IR trend, seasonal; moisture marks in terminal box.</t>
  </si>
  <si>
    <t xml:space="preserve">Running/idle (illustrative; no recorded readings)</t>
  </si>
  <si>
    <t xml:space="preserve">Seasonal (illustrative)</t>
  </si>
  <si>
    <t xml:space="preserve">Moisture ingress into windings (suspected, unconfirmed).</t>
  </si>
  <si>
    <t xml:space="preserve">Contamination; ageing; cable fault.</t>
  </si>
  <si>
    <t xml:space="preserve">Moisture creates leakage paths.</t>
  </si>
  <si>
    <t xml:space="preserve">Component: IR drop. Equipment: earth-fault risk. Operational: alarms. If ignored: breakdown.</t>
  </si>
  <si>
    <t xml:space="preserve">1. Moisture marks -&gt; ingress. A negative finding does not rule this cause out.
2. Space-heater condition -&gt; off?. A negative finding does not rule this cause out.
3. Seals -&gt; damaged. A negative finding does not rule this cause out.</t>
  </si>
  <si>
    <t xml:space="preserve">1. IR/PI | Instrument: Insulation tester (qualified) | Location: Per OEM / site procedure (measurement point to be marked on equipment) | Unit: Per instrument | Interpretation: trend; limits per IEEE 43/OEM
2. Temperature compensation | Instrument: IR thermometer (non-contact) or process instrument | Location: Per OEM / site procedure (measurement point to be marked on equipment) | Unit: °C | Interpretation: corrected
3. Cable test | Instrument: Instrument to be selected by qualified person | Location: Per OEM / site procedure (measurement point to be marked on equipment) | Unit: Per instrument | Interpretation: isolate</t>
  </si>
  <si>
    <t xml:space="preserve">Contamination: surface; Ageing: persistent. Diagnosis remains inconclusive if Tier 2 results lie within OEM/site baseline or point equally to two causes; then escalate to supervisor/OEM.</t>
  </si>
  <si>
    <t xml:space="preserve">LOTO and supervisor approval: dry out and retest; repair seals. Requires supervisor approval and LOTO before work. Tools/expertise: qualified maintenance technician with OEM procedure.</t>
  </si>
  <si>
    <t xml:space="preserve">Seals; heater (part numbers/compatibility must come from OEM parts list)</t>
  </si>
  <si>
    <t xml:space="preserve">Heaters; sealing. Intervals: per OEM; none invented here.</t>
  </si>
  <si>
    <t xml:space="preserve">IR trend.</t>
  </si>
  <si>
    <t xml:space="preserve">S14; S01; S02; S07; S10; S11</t>
  </si>
  <si>
    <t xml:space="preserve">CASE-MOT-010</t>
  </si>
  <si>
    <t xml:space="preserve">Extruder Motor Line</t>
  </si>
  <si>
    <t xml:space="preserve">Variable-frequency drive and motor</t>
  </si>
  <si>
    <t xml:space="preserve">Unstable speed; inconsistent production output</t>
  </si>
  <si>
    <t xml:space="preserve">Motor speed fluctuation</t>
  </si>
  <si>
    <t xml:space="preserve">Faulty speed feedback signal (illustrative - unverified)</t>
  </si>
  <si>
    <t xml:space="preserve">Observe VFD DC-bus discharge and isolation requirements</t>
  </si>
  <si>
    <t xml:space="preserve">Examine drive alarms; reference signals; feedback; load trends</t>
  </si>
  <si>
    <t xml:space="preserve">Repair feedback circuit and verify drive configuration</t>
  </si>
  <si>
    <t xml:space="preserve">Synthetic - pending expert validation. Source verification step: Confirm stable speed across approved operating conditions</t>
  </si>
  <si>
    <t xml:space="preserve">FM-041</t>
  </si>
  <si>
    <t xml:space="preserve">OS-018</t>
  </si>
  <si>
    <t xml:space="preserve">Speed</t>
  </si>
  <si>
    <t xml:space="preserve">VFD drive par motor ki speed upar-neeche hoti hai aur production inconsistent hai. Tacho/encoder wire ke paas noise ka shak hai. Fault history me feedback warning hai.</t>
  </si>
  <si>
    <t xml:space="preserve">Speed hunting on VFD; production inconsistency; feedback warnings.</t>
  </si>
  <si>
    <t xml:space="preserve">Faulty speed feedback signal (suspected, unconfirmed).</t>
  </si>
  <si>
    <t xml:space="preserve">Drive tuning; load variation; loose terminals.</t>
  </si>
  <si>
    <t xml:space="preserve">Bad feedback makes control loop oscillate.</t>
  </si>
  <si>
    <t xml:space="preserve">Component: control instability. Equipment: speed variation. Operational: quality loss. If ignored: process upset.</t>
  </si>
  <si>
    <t xml:space="preserve">1. Encoder cable/mount -&gt; damage. A negative finding does not rule this cause out.
2. Drive display -&gt; alarms. A negative finding does not rule this cause out.
3. Shielding -&gt; grounding. A negative finding does not rule this cause out.</t>
  </si>
  <si>
    <t xml:space="preserve">1. Actual speed | Instrument: Tachometer | Location: Per OEM / site procedure (measurement point to be marked on equipment) | Unit: rpm | Interpretation: vs setpoint
2. Feedback signal | Instrument: Scope (qualified) | Location: Per OEM / site procedure (measurement point to be marked on equipment) | Unit: Per instrument | Interpretation: noise
3. Drive parameters | Instrument: Instrument to be selected by qualified person | Location: Per OEM / site procedure (measurement point to be marked on equipment) | Unit: Per instrument | Interpretation: review</t>
  </si>
  <si>
    <t xml:space="preserve">Load variation: speed follows load. Diagnosis remains inconclusive if Tier 2 results lie within OEM/site baseline or point equally to two causes; then escalate to supervisor/OEM.</t>
  </si>
  <si>
    <t xml:space="preserve">LOTO and supervisor approval: replace encoder/cable, tune per OEM. Requires supervisor approval and LOTO before work. Tools/expertise: qualified maintenance technician with OEM procedure.</t>
  </si>
  <si>
    <t xml:space="preserve">Encoder; cable (part numbers/compatibility must come from OEM parts list)</t>
  </si>
  <si>
    <t xml:space="preserve">Cable routing. Intervals: per OEM; none invented here.</t>
  </si>
  <si>
    <t xml:space="preserve">Speed ripple.</t>
  </si>
  <si>
    <t xml:space="preserve">CASE-MOT-011</t>
  </si>
  <si>
    <t xml:space="preserve">Stator supply circuit</t>
  </si>
  <si>
    <t xml:space="preserve">Unequal phase currents; elevated temperature</t>
  </si>
  <si>
    <t xml:space="preserve">Motor phase current imbalance</t>
  </si>
  <si>
    <t xml:space="preserve">Loose electrical connection (illustrative - unverified)</t>
  </si>
  <si>
    <t xml:space="preserve">Live measurements only by qualified electrical personnel</t>
  </si>
  <si>
    <t xml:space="preserve">Measure voltage and current using approved methods; inspect connections</t>
  </si>
  <si>
    <t xml:space="preserve">Repair connection according to electrical maintenance procedures</t>
  </si>
  <si>
    <t xml:space="preserve">Synthetic - pending expert validation. Source verification step: Compare phase currents and temperatures under comparable load</t>
  </si>
  <si>
    <t xml:space="preserve">FM-040</t>
  </si>
  <si>
    <t xml:space="preserve">OS-019</t>
  </si>
  <si>
    <t xml:space="preserve">Electrical/Temperature</t>
  </si>
  <si>
    <t xml:space="preserve">Teeno phase ka current barabar nahi hai, ek phase zyada aa raha hai aur terminal box garam hai. Motor garam chal raha hai. Lug ke paas discolouration dikhta hai.</t>
  </si>
  <si>
    <t xml:space="preserve">Phase current imbalance; hot terminal box; discoloured lug.</t>
  </si>
  <si>
    <t xml:space="preserve">Terminal Box</t>
  </si>
  <si>
    <t xml:space="preserve">Terminal Lugs and Connections</t>
  </si>
  <si>
    <t xml:space="preserve">ELEC.MOT.TERM</t>
  </si>
  <si>
    <t xml:space="preserve">Loose Electrical Connection</t>
  </si>
  <si>
    <t xml:space="preserve">Loose electrical connection (suspected, unconfirmed).</t>
  </si>
  <si>
    <t xml:space="preserve">Supply imbalance; winding fault.</t>
  </si>
  <si>
    <t xml:space="preserve">High-resistance joint causes heating and imbalance.</t>
  </si>
  <si>
    <t xml:space="preserve">Component: terminal damage. Equipment: heating. Operational: trips. If ignored: fire.</t>
  </si>
  <si>
    <t xml:space="preserve">1. Discolouration -&gt; heat. A negative finding does not rule this cause out.
2. Smell -&gt; burning. A negative finding does not rule this cause out.
3. Cable condition -&gt; damage. A negative finding does not rule this cause out.</t>
  </si>
  <si>
    <t xml:space="preserve">1. Phase currents | Instrument: Clamp | Location: Per OEM / site procedure (measurement point to be marked on equipment) | Unit: A | Interpretation: imbalance
2. Thermography (safe) | Instrument: Instrument to be selected by qualified person | Location: Per OEM / site procedure (measurement point to be marked on equipment) | Unit: Per instrument | Interpretation: hot lug
3. Voltage | Instrument: Multimeter (qualified person) | Location: Per OEM / site procedure (measurement point to be marked on equipment) | Unit: V | Interpretation: balance</t>
  </si>
  <si>
    <t xml:space="preserve">Supply imbalance: voltage unbalance. Diagnosis remains inconclusive if Tier 2 results lie within OEM/site baseline or point equally to two causes; then escalate to supervisor/OEM.</t>
  </si>
  <si>
    <t xml:space="preserve">LOTO and supervisor approval: retorque/replace lugs per OEM. Requires supervisor approval and LOTO before work. Tools/expertise: qualified maintenance technician with OEM procedure.</t>
  </si>
  <si>
    <t xml:space="preserve">Lugs; hardware (part numbers/compatibility must come from OEM parts list)</t>
  </si>
  <si>
    <t xml:space="preserve">Periodic torque check. Intervals: per OEM; none invented here.</t>
  </si>
  <si>
    <t xml:space="preserve">Hot lug.</t>
  </si>
  <si>
    <t xml:space="preserve">CASE-MOT-012</t>
  </si>
  <si>
    <t xml:space="preserve">Rotor and cooling fan</t>
  </si>
  <si>
    <t xml:space="preserve">Intermittent scraping or rattling noise</t>
  </si>
  <si>
    <t xml:space="preserve">Motor abnormal noise</t>
  </si>
  <si>
    <t xml:space="preserve">Damaged cooling fan (illustrative - unverified)</t>
  </si>
  <si>
    <t xml:space="preserve">Ensure rotating components are completely stopped before inspection</t>
  </si>
  <si>
    <t xml:space="preserve">Identify noise location; inspect components after isolation</t>
  </si>
  <si>
    <t xml:space="preserve">Replace damaged fan with specified component</t>
  </si>
  <si>
    <t xml:space="preserve">Synthetic - pending expert validation. Source verification step: Run motor under controlled conditions; check noise and airflow</t>
  </si>
  <si>
    <t xml:space="preserve">ISO 10816-3 Machinery Vibration Guidelines / NEMA MG-1</t>
  </si>
  <si>
    <t xml:space="preserve">FM-034</t>
  </si>
  <si>
    <t xml:space="preserve">OS-020</t>
  </si>
  <si>
    <t xml:space="preserve">Motor se kabhi kabhi scraping/rattling awaaz aati hai, aur fan cowl ke andar kuch tut gaya lagta hai. Cooling hawa kam lagti hai.</t>
  </si>
  <si>
    <t xml:space="preserve">Intermittent scraping/rattle; broken fan suspected; reduced airflow.</t>
  </si>
  <si>
    <t xml:space="preserve">FMEA_Taxonomy code and vocabulary FM-ID are linked by case-level judgement (no official join table). Taxonomy mode is Cooling Airflow Blockage; case is damaged fan - AMBIGUOUS.</t>
  </si>
  <si>
    <t xml:space="preserve">Damaged cooling fan (suspected, unconfirmed).</t>
  </si>
  <si>
    <t xml:space="preserve">Foreign object; bearing noise; rub.</t>
  </si>
  <si>
    <t xml:space="preserve">Cracked blade strikes cowl or imbalances.</t>
  </si>
  <si>
    <t xml:space="preserve">Component: fan damage. Equipment: cooling loss. Operational: overheating. If ignored: motor overheating.</t>
  </si>
  <si>
    <t xml:space="preserve">1. Cowl dents -&gt; strike. A negative finding does not rule this cause out.
2. Airflow -&gt; weak. A negative finding does not rule this cause out.
3. Noise -&gt; periodic. A negative finding does not rule this cause out.</t>
  </si>
  <si>
    <t xml:space="preserve">1. Vibration | Instrument: Vibration analyser / accelerometer | Location: Per OEM / site procedure (measurement point to be marked on equipment) | Unit: mm/s or g (per instrument/standard) | Interpretation: 1x
2. Temperature | Instrument: IR thermometer (non-contact) or process instrument | Location: Per OEM / site procedure (measurement point to be marked on equipment) | Unit: °C | Interpretation: rising
3. Airflow check | Instrument: Calibrated flow meter | Location: Per OEM / site procedure (measurement point to be marked on equipment) | Unit: m³/h (per meter) | Interpretation: reduced</t>
  </si>
  <si>
    <t xml:space="preserve">Bearing: tonal; Rub: contact marks. Diagnosis remains inconclusive if Tier 2 results lie within OEM/site baseline or point equally to two causes; then escalate to supervisor/OEM.</t>
  </si>
  <si>
    <t xml:space="preserve">LOTO and supervisor approval: replace fan/cowl. Requires supervisor approval and LOTO before work. Tools/expertise: qualified maintenance technician with OEM procedure.</t>
  </si>
  <si>
    <t xml:space="preserve">Fan; cowl (part numbers/compatibility must come from OEM parts list)</t>
  </si>
  <si>
    <t xml:space="preserve">Inspect fans. Intervals: per OEM; none invented here.</t>
  </si>
  <si>
    <t xml:space="preserve">Rattle.</t>
  </si>
  <si>
    <t xml:space="preserve">CASE-MOT-013</t>
  </si>
  <si>
    <t xml:space="preserve">Mounting and Foundation</t>
  </si>
  <si>
    <t xml:space="preserve">Motor me vibration hai, foot bolt dheele lagte hain aur ek foot hawa me hai. Bolt kasne par vibration kam hoti hai.</t>
  </si>
  <si>
    <t xml:space="preserve">Not confirmed - suspected: Soft foot or loose foundation bolts (suspected, unconfirmed).</t>
  </si>
  <si>
    <t xml:space="preserve">Component: frame stress. Equipment: misalignment. Operational: vibration. If ignored: bearing wear.</t>
  </si>
  <si>
    <t xml:space="preserve">1. Bolts -&gt; loose. A negative finding does not rule this cause out.
2. Gap -&gt; soft foot. A negative finding does not rule this cause out.
3. Rust -&gt; movement. A negative finding does not rule this cause out.</t>
  </si>
  <si>
    <t xml:space="preserve">1. Vibration | Instrument: Vibration analyser / accelerometer | Location: Per OEM / site procedure (measurement point to be marked on equipment) | Unit: mm/s or g (per instrument/standard) | Interpretation: harmonics
2. Foot gap measurement (isolated) | Instrument: Instrument to be selected by qualified person | Location: Per OEM / site procedure (measurement point to be marked on equipment) | Unit: Per instrument | Interpretation: verify
3. Phase | Instrument: Instrument to be selected by qualified person | Location: Per OEM / site procedure (measurement point to be marked on equipment) | Unit: Per instrument | Interpretation: differences</t>
  </si>
  <si>
    <t xml:space="preserve">LOTO and supervisor approval: correct soft foot, torque bolts, realign.</t>
  </si>
  <si>
    <t xml:space="preserve">Vibration; loose foot bolts; gap under one foot.</t>
  </si>
  <si>
    <t xml:space="preserve">Motor Feet and Foundation Bolts</t>
  </si>
  <si>
    <t xml:space="preserve">MOT.MNTG.FEET</t>
  </si>
  <si>
    <t xml:space="preserve">Soft Foot / Mechanical Looseness</t>
  </si>
  <si>
    <t xml:space="preserve">Soft foot or loose foundation bolts (suspected, unconfirmed).</t>
  </si>
  <si>
    <t xml:space="preserve">Imbalance; misalignment.</t>
  </si>
  <si>
    <t xml:space="preserve">Frame distortion/looseness lets vibration amplify.</t>
  </si>
  <si>
    <t xml:space="preserve">Imbalance: 1x only. Diagnosis remains inconclusive if Tier 2 results lie within OEM/site baseline or point equally to two causes; then escalate to supervisor/OEM.</t>
  </si>
  <si>
    <t xml:space="preserve">LOTO and supervisor approval: correct soft foot, torque bolts, realign. Requires supervisor approval and LOTO before work. Tools/expertise: qualified maintenance technician with OEM procedure.</t>
  </si>
  <si>
    <t xml:space="preserve">Shims; bolts (part numbers/compatibility must come from OEM parts list)</t>
  </si>
  <si>
    <t xml:space="preserve">Torque checks. Intervals: per OEM; none invented here.</t>
  </si>
  <si>
    <t xml:space="preserve">Loose bolts.</t>
  </si>
  <si>
    <t xml:space="preserve">CASE-MOT-014</t>
  </si>
  <si>
    <t xml:space="preserve">ABB M3BP 160L</t>
  </si>
  <si>
    <t xml:space="preserve">Rotor-Stator Interface</t>
  </si>
  <si>
    <t xml:space="preserve">Motor se rub jaisi awaaz aur 2x line frequency ki hum aati hai, winding temperature badh gayi. Bearing wear ka itihas hai.</t>
  </si>
  <si>
    <t xml:space="preserve">Not confirmed - suspected: Air-gap eccentricity/rotor-stator rub (suspected, unconfirmed).</t>
  </si>
  <si>
    <t xml:space="preserve">Component: core/winding damage. Equipment: failure. Operational: outage. If ignored: severe damage.</t>
  </si>
  <si>
    <t xml:space="preserve">1. Scraping noise -&gt; rub. A negative finding does not rule this cause out.
2. Bearing play -&gt; wear. A negative finding does not rule this cause out.
3. Heat -&gt; rise. A negative finding does not rule this cause out.</t>
  </si>
  <si>
    <t xml:space="preserve">1. Vibration spectrum | Instrument: Vibration analyser / accelerometer | Location: Per OEM / site procedure (measurement point to be marked on equipment) | Unit: mm/s or g (per instrument/standard) | Interpretation: 2xLF
2. Current spectrum (qualified) | Instrument: Clamp meter (qualified person) | Location: Per OEM / site procedure (measurement point to be marked on equipment) | Unit: A | Interpretation: eccentricity signs
3. Temperature | Instrument: IR thermometer (non-contact) or process instrument | Location: Per OEM / site procedure (measurement point to be marked on equipment) | Unit: °C | Interpretation: trend</t>
  </si>
  <si>
    <t xml:space="preserve">LOTO and supervisor approval: replace bearings, check air gap.</t>
  </si>
  <si>
    <t xml:space="preserve">Rubbing noise, 2x line frequency hum, heating, prior bearing wear.</t>
  </si>
  <si>
    <t xml:space="preserve">Air Gap (Rotor and Stator Core)</t>
  </si>
  <si>
    <t xml:space="preserve">ELEC.MOT.AGAP</t>
  </si>
  <si>
    <t xml:space="preserve">Air-Gap Eccentricity / Rotor-Stator Rub</t>
  </si>
  <si>
    <t xml:space="preserve">FMEA_Taxonomy code and vocabulary FM-ID are linked by case-level judgement (no official join table). Noise FM-034 chosen as symptom; rub mode has no FM-ID - AMBIGUOUS.</t>
  </si>
  <si>
    <t xml:space="preserve">Air-gap eccentricity/rotor-stator rub (suspected, unconfirmed).</t>
  </si>
  <si>
    <t xml:space="preserve">Bearing wear; looseness; magnetic imbalance.</t>
  </si>
  <si>
    <t xml:space="preserve">Uneven gap produces unbalanced magnetic pull.</t>
  </si>
  <si>
    <t xml:space="preserve">Looseness: harmonics. Diagnosis remains inconclusive if Tier 2 results lie within OEM/site baseline or point equally to two causes; then escalate to supervisor/OEM.</t>
  </si>
  <si>
    <t xml:space="preserve">LOTO and supervisor approval: replace bearings, check air gap. Requires supervisor approval and LOTO before work. Tools/expertise: qualified maintenance technician with OEM procedure.</t>
  </si>
  <si>
    <t xml:space="preserve">Bearings (part numbers/compatibility must come from OEM parts list)</t>
  </si>
  <si>
    <t xml:space="preserve">Bearing care. Intervals: per OEM; none invented here.</t>
  </si>
  <si>
    <t xml:space="preserve">2xLF.</t>
  </si>
  <si>
    <t xml:space="preserve">CASE-MOT-015</t>
  </si>
  <si>
    <t xml:space="preserve">Motor load par speed thodi gir jaati hai, current ka needle hilta hai aur vibration pulsate karta hai. Start me jyada der lagti hai.</t>
  </si>
  <si>
    <t xml:space="preserve">Not confirmed - suspected: Broken rotor bar (suspected, unconfirmed).</t>
  </si>
  <si>
    <t xml:space="preserve">Component: rotor damage. Equipment: reduced torque. Operational: output loss. If ignored: failure.</t>
  </si>
  <si>
    <t xml:space="preserve">1. Pulsing noise -&gt; bars. A negative finding does not rule this cause out.
2. Current needle swing -&gt; oscillation. A negative finding does not rule this cause out.
3. Slow start -&gt; torque loss. A negative finding does not rule this cause out.</t>
  </si>
  <si>
    <t xml:space="preserve">1. Current spectrum (MCSA) | Instrument: Clamp meter (qualified person) | Location: Per OEM / site procedure (measurement point to be marked on equipment) | Unit: A | Interpretation: sidebands
2. Vibration | Instrument: Vibration analyser / accelerometer | Location: Per OEM / site procedure (measurement point to be marked on equipment) | Unit: mm/s or g (per instrument/standard) | Interpretation: pole-pass
3. Speed | Instrument: Tachometer | Location: Per OEM / site procedure (measurement point to be marked on equipment) | Unit: rpm | Interpretation: slip high</t>
  </si>
  <si>
    <t xml:space="preserve">LOTO and supervisor approval: repair/replace rotor.</t>
  </si>
  <si>
    <t xml:space="preserve">Vibration/Electrical</t>
  </si>
  <si>
    <t xml:space="preserve">Speed drop and current oscillation under load; pulsating vibration; slow start.</t>
  </si>
  <si>
    <t xml:space="preserve">Load-dependent (illustrative)</t>
  </si>
  <si>
    <t xml:space="preserve">Squirrel-Cage Rotor Bars and End Rings</t>
  </si>
  <si>
    <t xml:space="preserve">ELEC.MOT.ROTR</t>
  </si>
  <si>
    <t xml:space="preserve">Broken Rotor Bar</t>
  </si>
  <si>
    <t xml:space="preserve">FMEA_Taxonomy code and vocabulary FM-ID are linked by case-level judgement (no official join table). Symptom FM-036 chosen; rotor-bar mode has no FM-ID - AMBIGUOUS.</t>
  </si>
  <si>
    <t xml:space="preserve">Broken rotor bar (suspected, unconfirmed).</t>
  </si>
  <si>
    <t xml:space="preserve">Loose rotor core; supply issue.</t>
  </si>
  <si>
    <t xml:space="preserve">Broken bar distorts rotor currents.</t>
  </si>
  <si>
    <t xml:space="preserve">Supply: unbalanced voltage. Diagnosis remains inconclusive if Tier 2 results lie within OEM/site baseline or point equally to two causes; then escalate to supervisor/OEM.</t>
  </si>
  <si>
    <t xml:space="preserve">LOTO and supervisor approval: repair/replace rotor. Requires supervisor approval and LOTO before work. Tools/expertise: qualified maintenance technician with OEM procedure.</t>
  </si>
  <si>
    <t xml:space="preserve">Rotor (part numbers/compatibility must come from OEM parts list)</t>
  </si>
  <si>
    <t xml:space="preserve">MCSA. Intervals: per OEM; none invented here.</t>
  </si>
  <si>
    <t xml:space="preserve">Sidebands.</t>
  </si>
  <si>
    <t xml:space="preserve">CASE-MOT-016</t>
  </si>
  <si>
    <t xml:space="preserve">VFD lagne ke baad bearing se whine/howling awaaz aati hai, bearing baar baar kharab. Bearing race par patte jaise nishaan.</t>
  </si>
  <si>
    <t xml:space="preserve">Not confirmed - suspected: Bearing EDM fluting from inverter shaft currents (suspected, unconfirmed).</t>
  </si>
  <si>
    <t xml:space="preserve">Component: bearing damage. Equipment: failure. Operational: downtime. If ignored: recurrence.</t>
  </si>
  <si>
    <t xml:space="preserve">1. Whine -&gt; fluting. A negative finding does not rule this cause out.
2. VFD install -&gt; timeline. A negative finding does not rule this cause out.
3. Bearing marks -&gt; pattern. A negative finding does not rule this cause out.</t>
  </si>
  <si>
    <t xml:space="preserve">1. Shaft voltage | Instrument: Scope (qualified) | Location: Per OEM / site procedure (measurement point to be marked on equipment) | Unit: V | Interpretation: voltage
2. Vibration | Instrument: Vibration analyser / accelerometer | Location: Per OEM / site procedure (measurement point to be marked on equipment) | Unit: mm/s or g (per instrument/standard) | Interpretation: high-frequency
3. Ground path | Instrument: Instrument to be selected by qualified person | Location: Per OEM / site procedure (measurement point to be marked on equipment) | Unit: Per instrument | Interpretation: check</t>
  </si>
  <si>
    <t xml:space="preserve">LOTO and supervisor approval: replace bearings, add shaft grounding/insulated bearing.</t>
  </si>
  <si>
    <t xml:space="preserve">Whine after VFD install; repeated bearing failures; fluting marks.</t>
  </si>
  <si>
    <t xml:space="preserve">Bearing (Inverter-Fed Shaft Currents)</t>
  </si>
  <si>
    <t xml:space="preserve">ELEC.MOT.BRDC</t>
  </si>
  <si>
    <t xml:space="preserve">Bearing Electrical Discharge Damage (Fluting)</t>
  </si>
  <si>
    <t xml:space="preserve">FMEA_Taxonomy code and vocabulary FM-ID are linked by case-level judgement (no official join table). Symptom FM-034 chosen; EDM mode has no FM-ID - AMBIGUOUS.</t>
  </si>
  <si>
    <t xml:space="preserve">Bearing EDM fluting from inverter shaft currents (suspected, unconfirmed).</t>
  </si>
  <si>
    <t xml:space="preserve">Lubrication; wear.</t>
  </si>
  <si>
    <t xml:space="preserve">Discharge pits raceway.</t>
  </si>
  <si>
    <t xml:space="preserve">Lubrication: no pattern. Diagnosis remains inconclusive if Tier 2 results lie within OEM/site baseline or point equally to two causes; then escalate to supervisor/OEM.</t>
  </si>
  <si>
    <t xml:space="preserve">LOTO and supervisor approval: replace bearings, add shaft grounding/insulated bearing. Requires supervisor approval and LOTO before work. Tools/expertise: qualified maintenance technician with OEM procedure.</t>
  </si>
  <si>
    <t xml:space="preserve">Insulated bearing; grounding ring (part numbers/compatibility must come from OEM parts list)</t>
  </si>
  <si>
    <t xml:space="preserve">Grounding. Intervals: per OEM; none invented here.</t>
  </si>
  <si>
    <t xml:space="preserve">Whine.</t>
  </si>
  <si>
    <t xml:space="preserve">CASE-MOT-017</t>
  </si>
  <si>
    <t xml:space="preserve">Coupling (exists in Component_Taxonomy as CP-MOTOR-COUPLING; no FMEA_Taxonomy row)</t>
  </si>
  <si>
    <t xml:space="preserve">Motor aur driven machine ke beech coupling par vibration hai, axial vibration zyada hai aur bearing garam. Install ke baad se.</t>
  </si>
  <si>
    <t xml:space="preserve">Not confirmed - suspected: Shaft misalignment (suspected, unconfirmed).</t>
  </si>
  <si>
    <t xml:space="preserve">Component: bearing load. Equipment: wear. Operational: vibration. If ignored: failure.</t>
  </si>
  <si>
    <t xml:space="preserve">1. Gaps -&gt; asymmetric. A negative finding does not rule this cause out.
2. Bolts -&gt; loose. A negative finding does not rule this cause out.
3. Pipe strain -&gt; none. A negative finding does not rule this cause out.</t>
  </si>
  <si>
    <t xml:space="preserve">1. Vibration 1x/2x | Instrument: Vibration analyser / accelerometer | Location: Per OEM / site procedure (measurement point to be marked on equipment) | Unit: mm/s or g (per instrument/standard) | Interpretation: axial
2. Temperature | Instrument: IR thermometer (non-contact) or process instrument | Location: Per OEM / site procedure (measurement point to be marked on equipment) | Unit: °C | Interpretation: bearings
3. Alignment (isolated) | Instrument: Laser/dial alignment tool (after approved isolation) | Location: Per OEM / site procedure (measurement point to be marked on equipment) | Unit: Per instrument | Interpretation: offset</t>
  </si>
  <si>
    <t xml:space="preserve">LOTO and supervisor approval: realign to OEM tolerance.</t>
  </si>
  <si>
    <t xml:space="preserve">EASA Electrical Apparatus Service Association Failure Analysis Guide</t>
  </si>
  <si>
    <t xml:space="preserve">Coupling vibration with high axial component; warm bearing; since installation.</t>
  </si>
  <si>
    <t xml:space="preserve">Shaft misalignment (suspected, unconfirmed).</t>
  </si>
  <si>
    <t xml:space="preserve">Soft foot; coupling wear.</t>
  </si>
  <si>
    <t xml:space="preserve">Misalignment imposes cyclic loads.</t>
  </si>
  <si>
    <t xml:space="preserve">Imbalance: radial only. Diagnosis remains inconclusive if Tier 2 results lie within OEM/site baseline or point equally to two causes; then escalate to supervisor/OEM.</t>
  </si>
  <si>
    <t xml:space="preserve">LOTO and supervisor approval: realign to OEM tolerance. Requires supervisor approval and LOTO before work. Tools/expertise: qualified maintenance technician with OEM procedure.</t>
  </si>
  <si>
    <t xml:space="preserve">Shims (part numbers/compatibility must come from OEM parts list)</t>
  </si>
  <si>
    <t xml:space="preserve">Alignment. Intervals: per OEM; none invented here.</t>
  </si>
  <si>
    <t xml:space="preserve">Axial vibration.</t>
  </si>
  <si>
    <t xml:space="preserve">CASE-COMP-001</t>
  </si>
  <si>
    <t xml:space="preserve">Utility Air Distribution</t>
  </si>
  <si>
    <t xml:space="preserve">Rotary Screw Air Compressor</t>
  </si>
  <si>
    <t xml:space="preserve">ELGi EG-37</t>
  </si>
  <si>
    <t xml:space="preserve">Oil Separator</t>
  </si>
  <si>
    <t xml:space="preserve">Compressor ka pressure dheere bann raha hai aur motor ka current zyada hai</t>
  </si>
  <si>
    <t xml:space="preserve">Separator Element Clogging</t>
  </si>
  <si>
    <t xml:space="preserve">Separator element overdue; high differential pressure</t>
  </si>
  <si>
    <t xml:space="preserve">Low delivered pressure and capacity; higher energy consumption</t>
  </si>
  <si>
    <t xml:space="preserve">Check controller for service/differential-pressure warnings; look for oil carry-over at downstream drain; confirm no pressure in system before opening any covers.</t>
  </si>
  <si>
    <t xml:space="preserve">Read separator differential pressure from gauge/controller; clamp meter motor current; IR on discharge temperature.</t>
  </si>
  <si>
    <t xml:space="preserve">With depressurised system and supervisor approval: replace separator element and oil filter, change oil if varnished, reset service counters.</t>
  </si>
  <si>
    <t xml:space="preserve">CAGI Compressor Handbook / ISO 14224:2016 Section B.3</t>
  </si>
  <si>
    <t xml:space="preserve">EQ-COMP</t>
  </si>
  <si>
    <t xml:space="preserve">FM-016 (provisional)</t>
  </si>
  <si>
    <t xml:space="preserve">Performance/Electrical</t>
  </si>
  <si>
    <t xml:space="preserve">Compressor ka pressure dheere dheere ban raha hai aur motor ka current normal se zyada hai. Separator ke aage-peeche ka differential pressure zyada dikh raha hai. Separator element ka change due date nikal chuka hai.</t>
  </si>
  <si>
    <t xml:space="preserve">Slow pressure build, high motor current, high separator differential pressure, overdue element change.</t>
  </si>
  <si>
    <t xml:space="preserve">Running, loaded (illustrative; no recorded readings)</t>
  </si>
  <si>
    <t xml:space="preserve">Progressive (illustrative)</t>
  </si>
  <si>
    <t xml:space="preserve">Oil Separation System</t>
  </si>
  <si>
    <t xml:space="preserve">Oil Separator Element</t>
  </si>
  <si>
    <t xml:space="preserve">COMP.OSEP.ELEM</t>
  </si>
  <si>
    <t xml:space="preserve">FM-029</t>
  </si>
  <si>
    <t xml:space="preserve">Low compressed-air pressure</t>
  </si>
  <si>
    <t xml:space="preserve">Separator element clogged beyond service life (suspected, unconfirmed).</t>
  </si>
  <si>
    <t xml:space="preserve">Intake filter restriction; inlet valve fault; air-end wear; MPV fault.</t>
  </si>
  <si>
    <t xml:space="preserve">Clogging raises pressure drop across separator, increasing airend back-pressure and power.</t>
  </si>
  <si>
    <t xml:space="preserve">Component: separator restricted. Equipment: higher power, slow build. Operational: low supply. If ignored: overtemperature, element failure.</t>
  </si>
  <si>
    <t xml:space="preserve">1. Service indicator/ΔP gauge -&gt; high. A negative finding does not rule this cause out.
2. Element hours -&gt; overdue. A negative finding does not rule this cause out.
3. Oil leaks -&gt; related. A negative finding does not rule this cause out.</t>
  </si>
  <si>
    <t xml:space="preserve">Compressed air and hot oil/surfaces: no opening of pressurised parts; confirm depressurisation before any Tier 3 work; keep guards fitted; Tier 3 only after LOTO and supervisor approval.</t>
  </si>
  <si>
    <t xml:space="preserve">1. Separator ΔP | Instrument: Gauge/controller | Location: Per OEM / site procedure (measurement point to be marked on equipment) | Unit: Per instrument | Interpretation: vs OEM
2. Motor current | Instrument: Clamp | Location: Per OEM / site procedure (measurement point to be marked on equipment) | Unit: A | Interpretation: high
3. Discharge temperature | Instrument: IR thermometer (non-contact) or process instrument | Location: Per OEM / site procedure (measurement point to be marked on equipment) | Unit: °C | Interpretation: rising</t>
  </si>
  <si>
    <t xml:space="preserve">Intake restriction: vacuum high; Inlet valve: partially open. Diagnosis remains inconclusive if Tier 2 results lie within OEM/site baseline or point equally to two causes; then escalate to supervisor/OEM.</t>
  </si>
  <si>
    <t xml:space="preserve">LOTO, depressurise, supervisor approval: replace separator element and oil as per OEM, restore. Requires supervisor approval and LOTO before work. Tools/expertise: qualified maintenance technician with OEM procedure.</t>
  </si>
  <si>
    <t xml:space="preserve">Separator element; oil; gaskets (part numbers/compatibility must come from OEM parts list)</t>
  </si>
  <si>
    <t xml:space="preserve">Replace by ΔP/hours. Intervals: per OEM; none invented here.</t>
  </si>
  <si>
    <t xml:space="preserve">ΔP rise.</t>
  </si>
  <si>
    <t xml:space="preserve">CASE-COMP-002</t>
  </si>
  <si>
    <t xml:space="preserve">Plant Instrument Air Line</t>
  </si>
  <si>
    <t xml:space="preserve">BOGE S 50-4</t>
  </si>
  <si>
    <t xml:space="preserve">Compressor high temperature par band ho jata hai, garam hawa aa rahi hai</t>
  </si>
  <si>
    <t xml:space="preserve">Cooler Fouling (High Discharge Temperature)</t>
  </si>
  <si>
    <t xml:space="preserve">Oil cooler fins blocked by dust; blocked ventilation louvre</t>
  </si>
  <si>
    <t xml:space="preserve">High-temperature trip; accelerated oil degradation</t>
  </si>
  <si>
    <t xml:space="preserve">Check oil level sight glass; inspect cooler fins for dust; make sure louvres/room ventilation are not blocked; check cooling fan rotates freely (with power isolated).</t>
  </si>
  <si>
    <t xml:space="preserve">Handheld IR: cooler inlet vs. outlet temperature difference; controller discharge temperature; ambient temperature.</t>
  </si>
  <si>
    <t xml:space="preserve">With depressurised system and supervisor approval: clean cooler core, check thermostatic valve and fan, top up/change oil as required.</t>
  </si>
  <si>
    <t xml:space="preserve">CAGI Oil-Injected Screw Compressor Engineering Guidelines</t>
  </si>
  <si>
    <t xml:space="preserve">FM-005</t>
  </si>
  <si>
    <t xml:space="preserve">Compressor high temperature par band ho jaata hai aur garam hawa nikalti hai. Oil cooler ki fins par dhool jami hai aur ventilation louvre block hai. Garmi me zyada hota hai.</t>
  </si>
  <si>
    <t xml:space="preserve">High-temp shutdown; hot discharge air; dusty cooler fins; blocked louvre; worse in summer.</t>
  </si>
  <si>
    <t xml:space="preserve">Recurring (illustrative)</t>
  </si>
  <si>
    <t xml:space="preserve">Oil Cooler / Aftercooler</t>
  </si>
  <si>
    <t xml:space="preserve">COMP.COOL.COLR</t>
  </si>
  <si>
    <t xml:space="preserve">Cooler Fouling</t>
  </si>
  <si>
    <t xml:space="preserve">Compressor overheating</t>
  </si>
  <si>
    <t xml:space="preserve">Oil cooler fins blocked by dust and blocked ventilation louvre (suspected, unconfirmed).</t>
  </si>
  <si>
    <t xml:space="preserve">Thermostatic valve; low oil; fan fault.</t>
  </si>
  <si>
    <t xml:space="preserve">Reduced airflow limits heat rejection.</t>
  </si>
  <si>
    <t xml:space="preserve">Component: cooler fouled. Equipment: overtemperature. Operational: shutdown. If ignored: oil degradation.</t>
  </si>
  <si>
    <t xml:space="preserve">1. Fins dust -&gt; fouling. A negative finding does not rule this cause out.
2. Louvre -&gt; blocked. A negative finding does not rule this cause out.
3. Fan -&gt; running. A negative finding does not rule this cause out.</t>
  </si>
  <si>
    <t xml:space="preserve">1. Discharge temperature | Instrument: Controller | Location: Per OEM / site procedure (measurement point to be marked on equipment) | Unit: °C | Interpretation: high
2. Ambient | Instrument: Instrument to be selected by qualified person | Location: Per OEM / site procedure (measurement point to be marked on equipment) | Unit: Per instrument | Interpretation: context
3. Cooler ΔT | Instrument: Instrument to be selected by qualified person | Location: Per OEM / site procedure (measurement point to be marked on equipment) | Unit: Per instrument | Interpretation: vs baseline</t>
  </si>
  <si>
    <t xml:space="preserve">Thermostatic valve: oil temp abnormal. Diagnosis remains inconclusive if Tier 2 results lie within OEM/site baseline or point equally to two causes; then escalate to supervisor/OEM.</t>
  </si>
  <si>
    <t xml:space="preserve">LOTO, supervisor approval: clean cooler (OEM method), clear louvre. Requires supervisor approval and LOTO before work. Tools/expertise: qualified maintenance technician with OEM procedure.</t>
  </si>
  <si>
    <t xml:space="preserve">None typically (part numbers/compatibility must come from OEM parts list)</t>
  </si>
  <si>
    <t xml:space="preserve">Temp creep.</t>
  </si>
  <si>
    <t xml:space="preserve">S14; S01; S02; S09; S10</t>
  </si>
  <si>
    <t xml:space="preserve">CASE-COMP-003</t>
  </si>
  <si>
    <t xml:space="preserve">Atlas Copco GA-37</t>
  </si>
  <si>
    <t xml:space="preserve">Cooling system</t>
  </si>
  <si>
    <t xml:space="preserve">High discharge temperature; thermal shutdown</t>
  </si>
  <si>
    <t xml:space="preserve">Cooler surface contamination (illustrative - unverified)</t>
  </si>
  <si>
    <t xml:space="preserve">Isolate, depressurize and allow equipment to cool</t>
  </si>
  <si>
    <t xml:space="preserve">Inspect cooler condition; ventilation; lubricant levels</t>
  </si>
  <si>
    <t xml:space="preserve">Clean cooler using approved procedure</t>
  </si>
  <si>
    <t xml:space="preserve">Synthetic - pending expert validation. Source verification step: Monitor discharge temperature during controlled operation</t>
  </si>
  <si>
    <t xml:space="preserve">CAGI Rotary Screw Compressor Trouble Shooting Guide</t>
  </si>
  <si>
    <t xml:space="preserve">OS-021</t>
  </si>
  <si>
    <t xml:space="preserve">External fins saaf hain phir bhi discharge temperature zyada hai aur oil cooler ke outlet par oil garam. Cooler ke andar oil sludge ka shak hai. Oil kaala hai.</t>
  </si>
  <si>
    <t xml:space="preserve">High temperature despite clean fins; hot oil; dark oil; internal sludge suspected.</t>
  </si>
  <si>
    <t xml:space="preserve">Oil-side fouling of cooler core by sludge/varnish (suspected, unconfirmed).</t>
  </si>
  <si>
    <t xml:space="preserve">Thermostatic valve; fan; low oil level.</t>
  </si>
  <si>
    <t xml:space="preserve">Deposits reduce heat transfer.</t>
  </si>
  <si>
    <t xml:space="preserve">Component: core restricted. Equipment: overtemp. Operational: trips. If ignored: oil breakdown.</t>
  </si>
  <si>
    <t xml:space="preserve">1. Fins clean -&gt; external excluded. A negative finding does not rule this cause out.
2. Oil colour -&gt; dark. A negative finding does not rule this cause out.
3. Oil level -&gt; check. A negative finding does not rule this cause out.</t>
  </si>
  <si>
    <t xml:space="preserve">1. Cooler in/out temperature | Instrument: IR thermometer (non-contact) or process instrument | Location: Per OEM / site procedure (measurement point to be marked on equipment) | Unit: °C | Interpretation: small ΔT
2. Oil analysis | Instrument: Laboratory oil analysis | Location: Per OEM / site procedure (measurement point to be marked on equipment) | Unit: Per instrument | Interpretation: degraded
3. Discharge temp | Instrument: IR thermometer (non-contact) or process instrument | Location: Per OEM / site procedure (measurement point to be marked on equipment) | Unit: °C | Interpretation: high</t>
  </si>
  <si>
    <t xml:space="preserve">External fouling: dirty fins. Diagnosis remains inconclusive if Tier 2 results lie within OEM/site baseline or point equally to two causes; then escalate to supervisor/OEM.</t>
  </si>
  <si>
    <t xml:space="preserve">LOTO, supervisor approval: flush/replace cooler, change oil. Requires supervisor approval and LOTO before work. Tools/expertise: qualified maintenance technician with OEM procedure.</t>
  </si>
  <si>
    <t xml:space="preserve">Cooler; oil; filter (part numbers/compatibility must come from OEM parts list)</t>
  </si>
  <si>
    <t xml:space="preserve">Oil change by hours. Intervals: per OEM; none invented here.</t>
  </si>
  <si>
    <t xml:space="preserve">ΔT drop.</t>
  </si>
  <si>
    <t xml:space="preserve">CASE-COMP-004</t>
  </si>
  <si>
    <t xml:space="preserve">Main Compressed Air Header</t>
  </si>
  <si>
    <t xml:space="preserve">Sullair LS-160</t>
  </si>
  <si>
    <t xml:space="preserve">Air intake and compressor element</t>
  </si>
  <si>
    <t xml:space="preserve">Inadequate downstream pressure</t>
  </si>
  <si>
    <t xml:space="preserve">Restricted intake filter (illustrative - unverified)</t>
  </si>
  <si>
    <t xml:space="preserve">Depressurize before opening relevant assembly</t>
  </si>
  <si>
    <t xml:space="preserve">Inspect filters; review demand; check pressure trends; inspect leakage</t>
  </si>
  <si>
    <t xml:space="preserve">Replace or service filter according to OEM instructions</t>
  </si>
  <si>
    <t xml:space="preserve">Synthetic - pending expert validation. Source verification step: Confirm stable pressure at specified operating point</t>
  </si>
  <si>
    <t xml:space="preserve">OS-022</t>
  </si>
  <si>
    <t xml:space="preserve">Imported from shared draft. Tiers auto-mapped (safety precautions -&gt; Tier 1, diagnostic steps -&gt; Tier 2, corrective action -&gt; Tier 3); SME to re-tier, as some diagnostic steps may be intrusive. Root cause is 'illustrative_unverified' in source, not confirmed. Symptom text is formal; colloquial rewrite pending. Plant, line, model and failure effect were not specified in source. Compressor subtype unconfirmed (source says 'Air compressor'); class set to Rotary Screw for this project.</t>
  </si>
  <si>
    <t xml:space="preserve">Downstream pressure kam hai aur compressor loaded rehta hai par pressure nahi pakadta. Intake filter indicator laal hai aur filter dhool se bhara hai.</t>
  </si>
  <si>
    <t xml:space="preserve">Low downstream pressure; stays loaded; filter indicator red; dirty filter.</t>
  </si>
  <si>
    <t xml:space="preserve">Air Intake</t>
  </si>
  <si>
    <t xml:space="preserve">Intake Air Filter</t>
  </si>
  <si>
    <t xml:space="preserve">COMP.INTK.FILT</t>
  </si>
  <si>
    <t xml:space="preserve">Clogged Air Filter</t>
  </si>
  <si>
    <t xml:space="preserve">Restricted intake filter (suspected, unconfirmed).</t>
  </si>
  <si>
    <t xml:space="preserve">Separator clog; inlet valve; leaks.</t>
  </si>
  <si>
    <t xml:space="preserve">Restricted intake reduces air mass flow.</t>
  </si>
  <si>
    <t xml:space="preserve">Component: filter loaded. Equipment: low FAD. Operational: pressure shortfall. If ignored: contamination.</t>
  </si>
  <si>
    <t xml:space="preserve">1. Indicator -&gt; red. A negative finding does not rule this cause out.
2. Filter visual -&gt; dirty. A negative finding does not rule this cause out.
3. Intake area -&gt; dust. A negative finding does not rule this cause out.</t>
  </si>
  <si>
    <t xml:space="preserve">1. Intake vacuum | Instrument: Instrument to be selected by qualified person | Location: Per OEM / site procedure (measurement point to be marked on equipment) | Unit: bar or kPa (per gauge) | Interpretation: high
2. Pressure build time | Instrument: Calibrated pressure gauge/transmitter | Location: Per OEM / site procedure (measurement point to be marked on equipment) | Unit: bar or kPa (per gauge) | Interpretation: slow
3. Current | Instrument: Clamp meter (qualified person) | Location: Per OEM / site procedure (measurement point to be marked on equipment) | Unit: A | Interpretation: lower</t>
  </si>
  <si>
    <t xml:space="preserve">Separator: current high. Diagnosis remains inconclusive if Tier 2 results lie within OEM/site baseline or point equally to two causes; then escalate to supervisor/OEM.</t>
  </si>
  <si>
    <t xml:space="preserve">LOTO, supervisor approval: replace filter. Requires supervisor approval and LOTO before work. Tools/expertise: qualified maintenance technician with OEM procedure.</t>
  </si>
  <si>
    <t xml:space="preserve">Intake filter (part numbers/compatibility must come from OEM parts list)</t>
  </si>
  <si>
    <t xml:space="preserve">Replace per ΔP. Intervals: per OEM; none invented here.</t>
  </si>
  <si>
    <t xml:space="preserve">Indicator.</t>
  </si>
  <si>
    <t xml:space="preserve">CASE-COMP-005</t>
  </si>
  <si>
    <t xml:space="preserve">Oil separator</t>
  </si>
  <si>
    <t xml:space="preserve">Oil detected in compressed-air output</t>
  </si>
  <si>
    <t xml:space="preserve">Excessive oil carryover</t>
  </si>
  <si>
    <t xml:space="preserve">Degraded oil separator element (illustrative - unverified)</t>
  </si>
  <si>
    <t xml:space="preserve">Follow pressure-release and lubricant-handling procedures</t>
  </si>
  <si>
    <t xml:space="preserve">Review separator differential pressure; lubricant level; maintenance history</t>
  </si>
  <si>
    <t xml:space="preserve">Replace separator element with specified part</t>
  </si>
  <si>
    <t xml:space="preserve">Synthetic - pending expert validation. Source verification step: Inspect downstream air quality according to applicable requirements</t>
  </si>
  <si>
    <t xml:space="preserve">CAGI Rotary Screw Maintenance Manual / ISO 14224:2016</t>
  </si>
  <si>
    <t xml:space="preserve">FM-016</t>
  </si>
  <si>
    <t xml:space="preserve">OS-023</t>
  </si>
  <si>
    <t xml:space="preserve">Oil carryover</t>
  </si>
  <si>
    <t xml:space="preserve">Downstream air line me oil ki boondein aur filters me oil aa raha hai, oil consumption badh gayi hai. Separator ΔP normal ya kam hai. Oil level jaldi girta hai.</t>
  </si>
  <si>
    <t xml:space="preserve">Oil in downstream air; filters wet; high oil consumption; normal/low separator ΔP.</t>
  </si>
  <si>
    <t xml:space="preserve">FMEA_Taxonomy code and vocabulary FM-ID are linked by case-level judgement (no official join table). Carryover is a symptom; taxonomy mode is Separator Element Clogging, which does not describe element damage - AMBIGUOUS.</t>
  </si>
  <si>
    <t xml:space="preserve">Degraded/damaged separator element or overfill allowing carryover (suspected, unconfirmed). Mapping ambiguous.</t>
  </si>
  <si>
    <t xml:space="preserve">Scavenge line blocked; overfilled oil; MPV fault.</t>
  </si>
  <si>
    <t xml:space="preserve">Element bypass or saturation passes oil aerosol.</t>
  </si>
  <si>
    <t xml:space="preserve">Component: element degraded. Equipment: oil loss. Operational: air quality issue. If ignored: contamination downstream.</t>
  </si>
  <si>
    <t xml:space="preserve">1. Oil in drains -&gt; carryover. A negative finding does not rule this cause out.
2. Oil level -&gt; high?. A negative finding does not rule this cause out.
3. Scavenge line -&gt; blockage. A negative finding does not rule this cause out.</t>
  </si>
  <si>
    <t xml:space="preserve">1. Separator ΔP | Instrument: Instrument to be selected by qualified person | Location: Per OEM / site procedure (measurement point to be marked on equipment) | Unit: Per instrument | Interpretation: low/normal
2. Oil consumption | Instrument: Laboratory oil analysis | Location: Per OEM / site procedure (measurement point to be marked on equipment) | Unit: Per instrument | Interpretation: trend
3. Downstream air quality per ISO 8573-1 | Instrument: Instrument to be selected by qualified person | Location: Per OEM / site procedure (measurement point to be marked on equipment) | Unit: Per instrument | Interpretation: test</t>
  </si>
  <si>
    <t xml:space="preserve">Clogging case 001: high ΔP. Diagnosis remains inconclusive if Tier 2 results lie within OEM/site baseline or point equally to two causes; then escalate to supervisor/OEM.</t>
  </si>
  <si>
    <t xml:space="preserve">LOTO, supervisor approval: replace element, check scavenge line, set oil level. Requires supervisor approval and LOTO before work. Tools/expertise: qualified maintenance technician with OEM procedure.</t>
  </si>
  <si>
    <t xml:space="preserve">Separator element; oil (part numbers/compatibility must come from OEM parts list)</t>
  </si>
  <si>
    <t xml:space="preserve">OEM interval. Intervals: per OEM; none invented here.</t>
  </si>
  <si>
    <t xml:space="preserve">Oil consumption.</t>
  </si>
  <si>
    <t xml:space="preserve">CASE-COMP-006</t>
  </si>
  <si>
    <t xml:space="preserve">Gardner Denver ESM 30</t>
  </si>
  <si>
    <t xml:space="preserve">Pressure control system</t>
  </si>
  <si>
    <t xml:space="preserve">Repeated loading and unloading</t>
  </si>
  <si>
    <t xml:space="preserve">Frequent compressor cycling</t>
  </si>
  <si>
    <t xml:space="preserve">Incorrect control differential settings (illustrative - unverified)</t>
  </si>
  <si>
    <t xml:space="preserve">Only authorized personnel should modify control settings</t>
  </si>
  <si>
    <t xml:space="preserve">Review pressure logs; controller configuration; air demand</t>
  </si>
  <si>
    <t xml:space="preserve">Restore approved control settings</t>
  </si>
  <si>
    <t xml:space="preserve">Synthetic - pending expert validation. Source verification step: Observe stable loading and unloading behaviour</t>
  </si>
  <si>
    <t xml:space="preserve">CAGI Compressed Air &amp; Gas Handbook Section 4</t>
  </si>
  <si>
    <t xml:space="preserve">FM-020</t>
  </si>
  <si>
    <t xml:space="preserve">OS-024</t>
  </si>
  <si>
    <t xml:space="preserve">Control</t>
  </si>
  <si>
    <t xml:space="preserve">Compressor baar baar load aur unload hota hai, kuch second ke gap par. Pressure band chhota set hai. Receiver chhota hai.</t>
  </si>
  <si>
    <t xml:space="preserve">Frequent load/unload cycling; narrow pressure band.</t>
  </si>
  <si>
    <t xml:space="preserve">Frequent (illustrative)</t>
  </si>
  <si>
    <t xml:space="preserve">Low-Medium</t>
  </si>
  <si>
    <t xml:space="preserve">Incorrect control differential settings (suspected, unconfirmed).</t>
  </si>
  <si>
    <t xml:space="preserve">Leaks; small receiver; solenoid issue.</t>
  </si>
  <si>
    <t xml:space="preserve">Small band causes rapid cycling.</t>
  </si>
  <si>
    <t xml:space="preserve">Component: valves wear. Equipment: energy loss. Operational: wear. If ignored: faults.</t>
  </si>
  <si>
    <t xml:space="preserve">1. Cycle time -&gt; short. A negative finding does not rule this cause out.
2. Settings -&gt; narrow. A negative finding does not rule this cause out.
3. Leaks -&gt; audible. A negative finding does not rule this cause out.</t>
  </si>
  <si>
    <t xml:space="preserve">1. Pressure band | Instrument: Controller | Location: Per OEM / site procedure (measurement point to be marked on equipment) | Unit: bar or kPa (per gauge) | Interpretation: check
2. Cycle count | Instrument: Instrument to be selected by qualified person | Location: Per OEM / site procedure (measurement point to be marked on equipment) | Unit: Per instrument | Interpretation: trend
3. Leakage | Instrument: Instrument to be selected by qualified person | Location: Per OEM / site procedure (measurement point to be marked on equipment) | Unit: Per instrument | Interpretation: test</t>
  </si>
  <si>
    <t xml:space="preserve">Leaks: pressure falls at idle. Diagnosis remains inconclusive if Tier 2 results lie within OEM/site baseline or point equally to two causes; then escalate to supervisor/OEM.</t>
  </si>
  <si>
    <t xml:space="preserve">Supervisor approval: adjust settings per OEM. Requires supervisor approval and LOTO before work. Tools/expertise: qualified maintenance technician with OEM procedure.</t>
  </si>
  <si>
    <t xml:space="preserve">None (part numbers/compatibility must come from OEM parts list)</t>
  </si>
  <si>
    <t xml:space="preserve">Review settings. Intervals: per OEM; none invented here.</t>
  </si>
  <si>
    <t xml:space="preserve">Cycle count.</t>
  </si>
  <si>
    <t xml:space="preserve">CASE-COMP-007</t>
  </si>
  <si>
    <t xml:space="preserve">Ingersoll Rand R-50</t>
  </si>
  <si>
    <t xml:space="preserve">Drive assembly and compressor element</t>
  </si>
  <si>
    <t xml:space="preserve">Abnormal vibration; mechanical noise</t>
  </si>
  <si>
    <t xml:space="preserve">Excessive compressor vibration</t>
  </si>
  <si>
    <t xml:space="preserve">Loose mounting bolts (illustrative - unverified)</t>
  </si>
  <si>
    <t xml:space="preserve">Isolate before mechanical inspection</t>
  </si>
  <si>
    <t xml:space="preserve">Inspect mounting; measure vibration; assess coupling condition</t>
  </si>
  <si>
    <t xml:space="preserve">Restore mounting integrity using specified procedures</t>
  </si>
  <si>
    <t xml:space="preserve">Synthetic - pending expert validation. Source verification step: Recheck vibration under comparable load</t>
  </si>
  <si>
    <t xml:space="preserve">FM-012</t>
  </si>
  <si>
    <t xml:space="preserve">OS-025</t>
  </si>
  <si>
    <t xml:space="preserve">Compressor frame par vibration aur rattling hai, mounting bolt dheele lagte hain.</t>
  </si>
  <si>
    <t xml:space="preserve">Frame vibration, rattle, loose mounting bolts.</t>
  </si>
  <si>
    <t xml:space="preserve">Loose mounting bolts (suspected, unconfirmed).</t>
  </si>
  <si>
    <t xml:space="preserve">Coupling; air-end bearing; imbalance.</t>
  </si>
  <si>
    <t xml:space="preserve">Looseness amplifies vibration.</t>
  </si>
  <si>
    <t xml:space="preserve">Component: mounts. Equipment: fatigue. Operational: noise. If ignored: damage.</t>
  </si>
  <si>
    <t xml:space="preserve">1. Bolts -&gt; loose. A negative finding does not rule this cause out.
2. Pads -&gt; worn. A negative finding does not rule this cause out.
3. Rust -&gt; movement. A negative finding does not rule this cause out.</t>
  </si>
  <si>
    <t xml:space="preserve">1. Vibration | Instrument: Vibration analyser / accelerometer | Location: Per OEM / site procedure (measurement point to be marked on equipment) | Unit: mm/s or g (per instrument/standard) | Interpretation: harmonics
2. Mount gap | Instrument: Instrument to be selected by qualified person | Location: Per OEM / site procedure (measurement point to be marked on equipment) | Unit: Per instrument | Interpretation: check
3. Phase | Instrument: Instrument to be selected by qualified person | Location: Per OEM / site procedure (measurement point to be marked on equipment) | Unit: Per instrument | Interpretation: differ</t>
  </si>
  <si>
    <t xml:space="preserve">Bearing: high frequency. Diagnosis remains inconclusive if Tier 2 results lie within OEM/site baseline or point equally to two causes; then escalate to supervisor/OEM.</t>
  </si>
  <si>
    <t xml:space="preserve">LOTO, supervisor approval: torque bolts, replace pads. Requires supervisor approval and LOTO before work. Tools/expertise: qualified maintenance technician with OEM procedure.</t>
  </si>
  <si>
    <t xml:space="preserve">Bolts; pads (part numbers/compatibility must come from OEM parts list)</t>
  </si>
  <si>
    <t xml:space="preserve">Torque check. Intervals: per OEM; none invented here.</t>
  </si>
  <si>
    <t xml:space="preserve">CASE-COMP-008</t>
  </si>
  <si>
    <t xml:space="preserve">Inlet valve and control system</t>
  </si>
  <si>
    <t xml:space="preserve">Compressor runs but pressure does not increase as expected</t>
  </si>
  <si>
    <t xml:space="preserve">Compressor fails to build pressure</t>
  </si>
  <si>
    <t xml:space="preserve">Inlet valve failing to open correctly (illustrative - unverified)</t>
  </si>
  <si>
    <t xml:space="preserve">Do not manually override safety or pressure controls</t>
  </si>
  <si>
    <t xml:space="preserve">Review controller status; inlet valve operation; downstream pressure</t>
  </si>
  <si>
    <t xml:space="preserve">Repair or replace inlet valve</t>
  </si>
  <si>
    <t xml:space="preserve">Synthetic - pending expert validation. Source verification step: Confirm pressure buildup under approved test procedure</t>
  </si>
  <si>
    <t xml:space="preserve">FM-004</t>
  </si>
  <si>
    <t xml:space="preserve">OS-026</t>
  </si>
  <si>
    <t xml:space="preserve">Compressor chalta hai par pressure nahi badhta, intake valve poori tarah nahi khulta lagta hai. Control air sunai deti hai.</t>
  </si>
  <si>
    <t xml:space="preserve">Runs but pressure does not rise; inlet valve not opening fully.</t>
  </si>
  <si>
    <t xml:space="preserve">Capacity Control</t>
  </si>
  <si>
    <t xml:space="preserve">Inlet / Unloader Valve</t>
  </si>
  <si>
    <t xml:space="preserve">COMP.VALV.UNL</t>
  </si>
  <si>
    <t xml:space="preserve">Unloader Valve Sticking</t>
  </si>
  <si>
    <t xml:space="preserve">Inlet/unloader valve failing to open (suspected, unconfirmed).</t>
  </si>
  <si>
    <t xml:space="preserve">Solenoid; intake filter; separator.</t>
  </si>
  <si>
    <t xml:space="preserve">Sticking valve limits air intake.</t>
  </si>
  <si>
    <t xml:space="preserve">Component: valve stuck. Equipment: no pressure. Operational: no air. If ignored: overheating.</t>
  </si>
  <si>
    <t xml:space="preserve">1. Valve movement -&gt; stuck. A negative finding does not rule this cause out.
2. Control line -&gt; leak. A negative finding does not rule this cause out.
3. Indicator -&gt; state. A negative finding does not rule this cause out.</t>
  </si>
  <si>
    <t xml:space="preserve">1. Intake vacuum | Instrument: Instrument to be selected by qualified person | Location: Per OEM / site procedure (measurement point to be marked on equipment) | Unit: bar or kPa (per gauge) | Interpretation: abnormal
2. Control pressure | Instrument: Calibrated pressure gauge/transmitter | Location: Per OEM / site procedure (measurement point to be marked on equipment) | Unit: bar or kPa (per gauge) | Interpretation: low
3. Pressure | Instrument: Calibrated pressure gauge/transmitter | Location: Per OEM / site procedure (measurement point to be marked on equipment) | Unit: bar or kPa (per gauge) | Interpretation: no rise</t>
  </si>
  <si>
    <t xml:space="preserve">Filter: indicator red. Diagnosis remains inconclusive if Tier 2 results lie within OEM/site baseline or point equally to two causes; then escalate to supervisor/OEM.</t>
  </si>
  <si>
    <t xml:space="preserve">LOTO, supervisor approval: clean/replace valve kit. Requires supervisor approval and LOTO before work. Tools/expertise: qualified maintenance technician with OEM procedure.</t>
  </si>
  <si>
    <t xml:space="preserve">Valve kit (part numbers/compatibility must come from OEM parts list)</t>
  </si>
  <si>
    <t xml:space="preserve">Service kits. Intervals: per OEM; none invented here.</t>
  </si>
  <si>
    <t xml:space="preserve">Slow loading.</t>
  </si>
  <si>
    <t xml:space="preserve">CASE-COMP-009</t>
  </si>
  <si>
    <t xml:space="preserve">Moisture separator and drain</t>
  </si>
  <si>
    <t xml:space="preserve">Water accumulation in receiver or downstream lines</t>
  </si>
  <si>
    <t xml:space="preserve">Excessive condensate</t>
  </si>
  <si>
    <t xml:space="preserve">Blocked automatic condensate drain (illustrative - unverified)</t>
  </si>
  <si>
    <t xml:space="preserve">Treat condensate according to site environmental requirements</t>
  </si>
  <si>
    <t xml:space="preserve">Inspect automatic drains; dryer alarms; condensate trends</t>
  </si>
  <si>
    <t xml:space="preserve">Service drain and restore approved condensate management</t>
  </si>
  <si>
    <t xml:space="preserve">Synthetic - pending expert validation. Source verification step: Confirm proper drainage and downstream moisture performance</t>
  </si>
  <si>
    <t xml:space="preserve">FM-013</t>
  </si>
  <si>
    <t xml:space="preserve">OS-027</t>
  </si>
  <si>
    <t xml:space="preserve">Moisture</t>
  </si>
  <si>
    <t xml:space="preserve">Receiver aur downstream line me paani jama ho raha hai, drain se kuch nahi nikalta.</t>
  </si>
  <si>
    <t xml:space="preserve">Water in receiver/lines; drain not discharging.</t>
  </si>
  <si>
    <t xml:space="preserve">Condensate Management</t>
  </si>
  <si>
    <t xml:space="preserve">Automatic Condensate Drain</t>
  </si>
  <si>
    <t xml:space="preserve">COMP.COND.DRN</t>
  </si>
  <si>
    <t xml:space="preserve">Condensate Drain Blockage</t>
  </si>
  <si>
    <t xml:space="preserve">Blocked automatic condensate drain (suspected, unconfirmed).</t>
  </si>
  <si>
    <t xml:space="preserve">Dryer fault; high humidity.</t>
  </si>
  <si>
    <t xml:space="preserve">Blockage stops discharge.</t>
  </si>
  <si>
    <t xml:space="preserve">Component: drain. Equipment: water carryover. Operational: quality. If ignored: corrosion.</t>
  </si>
  <si>
    <t xml:space="preserve">1. Drain output -&gt; none. A negative finding does not rule this cause out.
2. Receiver water -&gt; present. A negative finding does not rule this cause out.
3. Line condition -&gt; wet. A negative finding does not rule this cause out.</t>
  </si>
  <si>
    <t xml:space="preserve">1. Dewpoint | Instrument: Instrument to be selected by qualified person | Location: Per OEM / site procedure (measurement point to be marked on equipment) | Unit: Per instrument | Interpretation: high
2. Drain cycle | Instrument: Instrument to be selected by qualified person | Location: Per OEM / site procedure (measurement point to be marked on equipment) | Unit: Per instrument | Interpretation: check
3. Temperature | Instrument: IR thermometer (non-contact) or process instrument | Location: Per OEM / site procedure (measurement point to be marked on equipment) | Unit: °C | Interpretation: context</t>
  </si>
  <si>
    <t xml:space="preserve">Dryer fault. Diagnosis remains inconclusive if Tier 2 results lie within OEM/site baseline or point equally to two causes; then escalate to supervisor/OEM.</t>
  </si>
  <si>
    <t xml:space="preserve">LOTO, supervisor approval: clean/replace drain. Requires supervisor approval and LOTO before work. Tools/expertise: qualified maintenance technician with OEM procedure.</t>
  </si>
  <si>
    <t xml:space="preserve">Drain valve (part numbers/compatibility must come from OEM parts list)</t>
  </si>
  <si>
    <t xml:space="preserve">Drain checks. Intervals: per OEM; none invented here.</t>
  </si>
  <si>
    <t xml:space="preserve">Water.</t>
  </si>
  <si>
    <t xml:space="preserve">CASE-COMP-010</t>
  </si>
  <si>
    <t xml:space="preserve">Drive coupling and motor</t>
  </si>
  <si>
    <t xml:space="preserve">Loud startup noise followed by normal or unstable operation</t>
  </si>
  <si>
    <t xml:space="preserve">Abnormal startup noise</t>
  </si>
  <si>
    <t xml:space="preserve">Worn drive coupling (illustrative - unverified)</t>
  </si>
  <si>
    <t xml:space="preserve">Apply isolation and stored-energy precautions</t>
  </si>
  <si>
    <t xml:space="preserve">Review startup history; inspect coupling; check alignment</t>
  </si>
  <si>
    <t xml:space="preserve">Replace coupling with specified component and realign</t>
  </si>
  <si>
    <t xml:space="preserve">Synthetic - pending expert validation. Source verification step: Conduct controlled startup and inspect vibration</t>
  </si>
  <si>
    <t xml:space="preserve">FM-002</t>
  </si>
  <si>
    <t xml:space="preserve">OS-028</t>
  </si>
  <si>
    <t xml:space="preserve">Start par tez khat-khat awaaz aati hai phir normal ya unstable ho jaati hai. Coupling guard me dhool.</t>
  </si>
  <si>
    <t xml:space="preserve">Loud start noise then normal/unstable; coupling dust.</t>
  </si>
  <si>
    <t xml:space="preserve">Start (illustrative; no recorded readings)</t>
  </si>
  <si>
    <t xml:space="preserve">Each start (illustrative)</t>
  </si>
  <si>
    <t xml:space="preserve">Worn drive coupling (suspected, unconfirmed).</t>
  </si>
  <si>
    <t xml:space="preserve">Misalignment; motor issue.</t>
  </si>
  <si>
    <t xml:space="preserve">Wear causes backlash.</t>
  </si>
  <si>
    <t xml:space="preserve">Component: coupling. Equipment: vibration. Operational: risk. If ignored: failure.</t>
  </si>
  <si>
    <t xml:space="preserve">1. Dust -&gt; wear. A negative finding does not rule this cause out.
2. Noise -&gt; start. A negative finding does not rule this cause out.
3. Guard -&gt; ok. A negative finding does not rule this cause out.</t>
  </si>
  <si>
    <t xml:space="preserve">1. Vibration | Instrument: Vibration analyser / accelerometer | Location: Per OEM / site procedure (measurement point to be marked on equipment) | Unit: mm/s or g (per instrument/standard) | Interpretation: impacts
2. Alignment | Instrument: Laser/dial alignment tool (after approved isolation) | Location: Per OEM / site procedure (measurement point to be marked on equipment) | Unit: Per instrument | Interpretation: check
3. Current | Instrument: Clamp meter (qualified person) | Location: Per OEM / site procedure (measurement point to be marked on equipment) | Unit: A | Interpretation: spike</t>
  </si>
  <si>
    <t xml:space="preserve">Misalignment. Diagnosis remains inconclusive if Tier 2 results lie within OEM/site baseline or point equally to two causes; then escalate to supervisor/OEM.</t>
  </si>
  <si>
    <t xml:space="preserve">LOTO, supervisor approval: replace coupling. Requires supervisor approval and LOTO before work. Tools/expertise: qualified maintenance technician with OEM procedure.</t>
  </si>
  <si>
    <t xml:space="preserve">Coupling element (part numbers/compatibility must come from OEM parts list)</t>
  </si>
  <si>
    <t xml:space="preserve">Inspect. Intervals: per OEM; none invented here.</t>
  </si>
  <si>
    <t xml:space="preserve">Dust.</t>
  </si>
  <si>
    <t xml:space="preserve">CASE-COMP-011</t>
  </si>
  <si>
    <t xml:space="preserve">Air-Oil Circuit</t>
  </si>
  <si>
    <t xml:space="preserve">Load hone par pressure dheere banta hai aur unload hone par line pressure jaldi girta hai. Minimum pressure valve se hiss.</t>
  </si>
  <si>
    <t xml:space="preserve">Not confirmed - suspected: MPV leakage/sticking (suspected, unconfirmed).</t>
  </si>
  <si>
    <t xml:space="preserve">Component: MPV. Equipment: low pressure. Operational: shortfall. If ignored: oil issues.</t>
  </si>
  <si>
    <t xml:space="preserve">1. Hiss -&gt; leak. A negative finding does not rule this cause out.
2. Pressure fall -&gt; quick. A negative finding does not rule this cause out.
3. MPV -&gt; area. A negative finding does not rule this cause out.</t>
  </si>
  <si>
    <t xml:space="preserve">1. Separator pressure | Instrument: Calibrated pressure gauge/transmitter | Location: Per OEM / site procedure (measurement point to be marked on equipment) | Unit: bar or kPa (per gauge) | Interpretation: low
2. Line pressure | Instrument: Calibrated pressure gauge/transmitter | Location: Per OEM / site procedure (measurement point to be marked on equipment) | Unit: bar or kPa (per gauge) | Interpretation: drop
3. Cycle | Instrument: Instrument to be selected by qualified person | Location: Per OEM / site procedure (measurement point to be marked on equipment) | Unit: Per instrument | Interpretation: long</t>
  </si>
  <si>
    <t xml:space="preserve">LOTO, supervisor approval: service MPV.</t>
  </si>
  <si>
    <t xml:space="preserve">Slow build under load; line pressure falls at unload; MPV hiss.</t>
  </si>
  <si>
    <t xml:space="preserve">Minimum Pressure Valve</t>
  </si>
  <si>
    <t xml:space="preserve">COMP.VALV.MPV</t>
  </si>
  <si>
    <t xml:space="preserve">Minimum Pressure Valve Leakage / Sticking</t>
  </si>
  <si>
    <t xml:space="preserve">MPV leakage/sticking (suspected, unconfirmed).</t>
  </si>
  <si>
    <t xml:space="preserve">Leaks; separator.</t>
  </si>
  <si>
    <t xml:space="preserve">Valve fails to hold min pressure.</t>
  </si>
  <si>
    <t xml:space="preserve">Leaks elsewhere. Diagnosis remains inconclusive if Tier 2 results lie within OEM/site baseline or point equally to two causes; then escalate to supervisor/OEM.</t>
  </si>
  <si>
    <t xml:space="preserve">LOTO, supervisor approval: service MPV. Requires supervisor approval and LOTO before work. Tools/expertise: qualified maintenance technician with OEM procedure.</t>
  </si>
  <si>
    <t xml:space="preserve">MPV kit (part numbers/compatibility must come from OEM parts list)</t>
  </si>
  <si>
    <t xml:space="preserve">Service. Intervals: per OEM; none invented here.</t>
  </si>
  <si>
    <t xml:space="preserve">Hiss.</t>
  </si>
  <si>
    <t xml:space="preserve">CASE-COMP-012</t>
  </si>
  <si>
    <t xml:space="preserve">Air End</t>
  </si>
  <si>
    <t xml:space="preserve">Air end se grinding awaaz aur vibration hai, temperature thoda zyada.</t>
  </si>
  <si>
    <t xml:space="preserve">Not confirmed - suspected: Air-end bearing failure (suspected, unconfirmed).</t>
  </si>
  <si>
    <t xml:space="preserve">Component: bearing. Equipment: rotor contact risk. Operational: outage. If ignored: airend failure.</t>
  </si>
  <si>
    <t xml:space="preserve">1. Noise -&gt; grinding. A negative finding does not rule this cause out.
2. Heat -&gt; rise. A negative finding does not rule this cause out.
3. Oil -&gt; metal?. A negative finding does not rule this cause out.</t>
  </si>
  <si>
    <t xml:space="preserve">1. Vibration | Instrument: Vibration analyser / accelerometer | Location: Per OEM / site procedure (measurement point to be marked on equipment) | Unit: mm/s or g (per instrument/standard) | Interpretation: bearing freq
2. Temperature | Instrument: IR thermometer (non-contact) or process instrument | Location: Per OEM / site procedure (measurement point to be marked on equipment) | Unit: °C | Interpretation: trend
3. Oil analysis | Instrument: Laboratory oil analysis | Location: Per OEM / site procedure (measurement point to be marked on equipment) | Unit: Per instrument | Interpretation: wear metals</t>
  </si>
  <si>
    <t xml:space="preserve">LOTO, supervisor approval: airend overhaul by qualified service.</t>
  </si>
  <si>
    <t xml:space="preserve">Vibration/Noise</t>
  </si>
  <si>
    <t xml:space="preserve">Grinding noise and vibration at air end; temp up.</t>
  </si>
  <si>
    <t xml:space="preserve">Air End Bearings</t>
  </si>
  <si>
    <t xml:space="preserve">COMP.AEND.BRNG</t>
  </si>
  <si>
    <t xml:space="preserve">Air End Bearing Failure</t>
  </si>
  <si>
    <t xml:space="preserve">Air-end bearing failure (suspected, unconfirmed).</t>
  </si>
  <si>
    <t xml:space="preserve">Coupling; looseness.</t>
  </si>
  <si>
    <t xml:space="preserve">Bearing wear raises clearance.</t>
  </si>
  <si>
    <t xml:space="preserve">Loose mount. Diagnosis remains inconclusive if Tier 2 results lie within OEM/site baseline or point equally to two causes; then escalate to supervisor/OEM.</t>
  </si>
  <si>
    <t xml:space="preserve">LOTO, supervisor approval: airend overhaul by qualified service. Requires supervisor approval and LOTO before work. Tools/expertise: qualified maintenance technician with OEM procedure.</t>
  </si>
  <si>
    <t xml:space="preserve">Bearings; seals (part numbers/compatibility must come from OEM parts list)</t>
  </si>
  <si>
    <t xml:space="preserve">Oil quality. Intervals: per OEM; none invented here.</t>
  </si>
  <si>
    <t xml:space="preserve">Noise.</t>
  </si>
  <si>
    <t xml:space="preserve">CASE-COMP-013</t>
  </si>
  <si>
    <t xml:space="preserve">Compressor se hawa kam milti hai, temperature zyada, specific energy badhi.</t>
  </si>
  <si>
    <t xml:space="preserve">Not confirmed - suspected: Rotor wear/clearance increase (suspected, unconfirmed).</t>
  </si>
  <si>
    <t xml:space="preserve">Component: rotors. Equipment: low FAD. Operational: shortfall. If ignored: failure.</t>
  </si>
  <si>
    <t xml:space="preserve">1. Filter ok -&gt; excluded. A negative finding does not rule this cause out.
2. Heat -&gt; rise. A negative finding does not rule this cause out.
3. Time -&gt; long fill. A negative finding does not rule this cause out.</t>
  </si>
  <si>
    <t xml:space="preserve">1. FAD test | Instrument: Instrument to be selected by qualified person | Location: Per OEM / site procedure (measurement point to be marked on equipment) | Unit: Per instrument | Interpretation: low
2. Temp | Instrument: IR thermometer (non-contact) or process instrument | Location: Per OEM / site procedure (measurement point to be marked on equipment) | Unit: °C | Interpretation: high
3. Power | Instrument: Instrument to be selected by qualified person | Location: Per OEM / site procedure (measurement point to be marked on equipment) | Unit: kW | Interpretation: high</t>
  </si>
  <si>
    <t xml:space="preserve">LOTO, supervisor approval: airend overhaul.</t>
  </si>
  <si>
    <t xml:space="preserve">CAGI Air Compressor Maintenance &amp; Quality Standards</t>
  </si>
  <si>
    <t xml:space="preserve">Reduced air delivery, high temp, higher specific energy.</t>
  </si>
  <si>
    <t xml:space="preserve">Gradual (illustrative)</t>
  </si>
  <si>
    <t xml:space="preserve">Rotor Screws (Male / Female)</t>
  </si>
  <si>
    <t xml:space="preserve">COMP.AEND.ROTR</t>
  </si>
  <si>
    <t xml:space="preserve">Rotor Wear / Clearance Increase</t>
  </si>
  <si>
    <t xml:space="preserve">FMEA_Taxonomy code and vocabulary FM-ID are linked by case-level judgement (no official join table). FM-029 symptom chosen for rotor wear - AMBIGUOUS.</t>
  </si>
  <si>
    <t xml:space="preserve">Rotor wear/clearance increase (suspected, unconfirmed).</t>
  </si>
  <si>
    <t xml:space="preserve">Intake; separator; MPV.</t>
  </si>
  <si>
    <t xml:space="preserve">Increased clearance causes internal leakage.</t>
  </si>
  <si>
    <t xml:space="preserve">Intake restriction. Diagnosis remains inconclusive if Tier 2 results lie within OEM/site baseline or point equally to two causes; then escalate to supervisor/OEM.</t>
  </si>
  <si>
    <t xml:space="preserve">LOTO, supervisor approval: airend overhaul. Requires supervisor approval and LOTO before work. Tools/expertise: qualified maintenance technician with OEM procedure.</t>
  </si>
  <si>
    <t xml:space="preserve">Airend (part numbers/compatibility must come from OEM parts list)</t>
  </si>
  <si>
    <t xml:space="preserve">Oil/filtration. Intervals: per OEM; none invented here.</t>
  </si>
  <si>
    <t xml:space="preserve">Fill time.</t>
  </si>
  <si>
    <t xml:space="preserve">CASE-COMP-014</t>
  </si>
  <si>
    <t xml:space="preserve">Kaeser BSD 75</t>
  </si>
  <si>
    <t xml:space="preserve">Oil System</t>
  </si>
  <si>
    <t xml:space="preserve">Oil temperature kabhi bahut zyada ya bahut kam, cooler theek hai.</t>
  </si>
  <si>
    <t xml:space="preserve">Not confirmed - suspected: Thermostatic valve sticking (suspected, unconfirmed).</t>
  </si>
  <si>
    <t xml:space="preserve">Component: valve. Equipment: temp swings. Operational: trips. If ignored: oil damage.</t>
  </si>
  <si>
    <t xml:space="preserve">1. Cooler clean -&gt; excluded. A negative finding does not rule this cause out.
2. Temp -&gt; erratic. A negative finding does not rule this cause out.
3. Oil -&gt; level. A negative finding does not rule this cause out.</t>
  </si>
  <si>
    <t xml:space="preserve">1. Oil temp | Instrument: IR thermometer (non-contact) or process instrument | Location: Per OEM / site procedure (measurement point to be marked on equipment) | Unit: °C | Interpretation: erratic
2. Cooler ΔT | Instrument: Instrument to be selected by qualified person | Location: Per OEM / site procedure (measurement point to be marked on equipment) | Unit: Per instrument | Interpretation: odd
3. Pressure | Instrument: Calibrated pressure gauge/transmitter | Location: Per OEM / site procedure (measurement point to be marked on equipment) | Unit: bar or kPa (per gauge) | Interpretation: ok</t>
  </si>
  <si>
    <t xml:space="preserve">LOTO, supervisor approval: replace valve element.</t>
  </si>
  <si>
    <t xml:space="preserve">Oil temperature erratic; cooler ok.</t>
  </si>
  <si>
    <t xml:space="preserve">Thermostatic (Temperature Control) Valve</t>
  </si>
  <si>
    <t xml:space="preserve">COMP.OILS.THRM</t>
  </si>
  <si>
    <t xml:space="preserve">Thermostatic Valve Sticking</t>
  </si>
  <si>
    <t xml:space="preserve">Thermostatic valve sticking (suspected, unconfirmed).</t>
  </si>
  <si>
    <t xml:space="preserve">Cooler fouling.</t>
  </si>
  <si>
    <t xml:space="preserve">Valve fails to regulate oil flow.</t>
  </si>
  <si>
    <t xml:space="preserve">Fouling: steady heat. Diagnosis remains inconclusive if Tier 2 results lie within OEM/site baseline or point equally to two causes; then escalate to supervisor/OEM.</t>
  </si>
  <si>
    <t xml:space="preserve">LOTO, supervisor approval: replace valve element. Requires supervisor approval and LOTO before work. Tools/expertise: qualified maintenance technician with OEM procedure.</t>
  </si>
  <si>
    <t xml:space="preserve">Thermostatic element (part numbers/compatibility must come from OEM parts list)</t>
  </si>
  <si>
    <t xml:space="preserve">Temp swing.</t>
  </si>
  <si>
    <t xml:space="preserve">CASE-COMP-015</t>
  </si>
  <si>
    <t xml:space="preserve">Compressor load nahi karta ya unload nahi karta, solenoid click nahi karta.</t>
  </si>
  <si>
    <t xml:space="preserve">Not confirmed - suspected: Solenoid valve failure (suspected, unconfirmed).</t>
  </si>
  <si>
    <t xml:space="preserve">Component: solenoid. Equipment: capacity control. Operational: pressure issue. If ignored: overpressure/idle.</t>
  </si>
  <si>
    <t xml:space="preserve">1. Click -&gt; none. A negative finding does not rule this cause out.
2. Indicator -&gt; state. A negative finding does not rule this cause out.
3. Wiring -&gt; visible. A negative finding does not rule this cause out.</t>
  </si>
  <si>
    <t xml:space="preserve">1. Coil voltage | Instrument: Multimeter (qualified person) | Location: Per OEM / site procedure (measurement point to be marked on equipment) | Unit: V | Interpretation: present?
2. Resistance (isolated) | Instrument: Micro-ohmmeter / multimeter (isolated) | Location: Per OEM / site procedure (measurement point to be marked on equipment) | Unit: Ω / mΩ | Interpretation: open
3. Control air | Instrument: Instrument to be selected by qualified person | Location: Per OEM / site procedure (measurement point to be marked on equipment) | Unit: Per instrument | Interpretation: state</t>
  </si>
  <si>
    <t xml:space="preserve">LOTO, supervisor approval: replace solenoid.</t>
  </si>
  <si>
    <t xml:space="preserve">Will not load/unload; solenoid silent.</t>
  </si>
  <si>
    <t xml:space="preserve">Solenoid Valve (Load / Unload)</t>
  </si>
  <si>
    <t xml:space="preserve">COMP.VALV.SOL</t>
  </si>
  <si>
    <t xml:space="preserve">Solenoid Valve Failure</t>
  </si>
  <si>
    <t xml:space="preserve">FMEA_Taxonomy code and vocabulary FM-ID are linked by case-level judgement (no official join table). FM-004 chosen as closest symptom for solenoid failure - AMBIGUOUS.</t>
  </si>
  <si>
    <t xml:space="preserve">Solenoid valve failure (suspected, unconfirmed).</t>
  </si>
  <si>
    <t xml:space="preserve">Controller; valve.</t>
  </si>
  <si>
    <t xml:space="preserve">Coil/valve failure.</t>
  </si>
  <si>
    <t xml:space="preserve">Controller fault. Diagnosis remains inconclusive if Tier 2 results lie within OEM/site baseline or point equally to two causes; then escalate to supervisor/OEM.</t>
  </si>
  <si>
    <t xml:space="preserve">LOTO, supervisor approval: replace solenoid. Requires supervisor approval and LOTO before work. Tools/expertise: qualified maintenance technician with OEM procedure.</t>
  </si>
  <si>
    <t xml:space="preserve">Solenoid coil/valve (part numbers/compatibility must come from OEM parts list)</t>
  </si>
  <si>
    <t xml:space="preserve">Test. Intervals: per OEM; none invented here.</t>
  </si>
  <si>
    <t xml:space="preserve">No click.</t>
  </si>
  <si>
    <t xml:space="preserve">CASE-COMP-016</t>
  </si>
  <si>
    <t xml:space="preserve">Controls/instrumentation (no FMEA_Taxonomy row)</t>
  </si>
  <si>
    <t xml:space="preserve">Pressure reading actual gauge se alag hai, compressor spurious unload/trip karta hai.</t>
  </si>
  <si>
    <t xml:space="preserve">Not confirmed - suspected: Pressure sensor drift/malfunction (suspected, unconfirmed).</t>
  </si>
  <si>
    <t xml:space="preserve">Component: sensor. Equipment: control errors. Operational: cycling. If ignored: unsafe.</t>
  </si>
  <si>
    <t xml:space="preserve">1. Gauge vs display -&gt; differ. A negative finding does not rule this cause out.
2. Wiring -&gt; visible. A negative finding does not rule this cause out.
3. Alarms -&gt; log. A negative finding does not rule this cause out.</t>
  </si>
  <si>
    <t xml:space="preserve">1. Reference pressure | Instrument: Calibrated gauge | Location: Per OEM / site procedure (measurement point to be marked on equipment) | Unit: bar or kPa (per gauge) | Interpretation: compare
2. Signal | Instrument: Meter | Location: Per OEM / site procedure (measurement point to be marked on equipment) | Unit: Per instrument | Interpretation: check
3. Trend | Instrument: Instrument to be selected by qualified person | Location: Per OEM / site procedure (measurement point to be marked on equipment) | Unit: Per instrument | Interpretation: noise</t>
  </si>
  <si>
    <t xml:space="preserve">Supervisor approval and LOTO: replace/calibrate sensor.</t>
  </si>
  <si>
    <t xml:space="preserve">Control/Instrumentation</t>
  </si>
  <si>
    <t xml:space="preserve">Transmitter reading differs from gauge; spurious unload/trip.</t>
  </si>
  <si>
    <t xml:space="preserve">Pressure sensor drift/malfunction (suspected, unconfirmed).</t>
  </si>
  <si>
    <t xml:space="preserve">Wiring; controller.</t>
  </si>
  <si>
    <t xml:space="preserve">Sensor error distorts control.</t>
  </si>
  <si>
    <t xml:space="preserve">Real pressure fault: gauge agrees. Diagnosis remains inconclusive if Tier 2 results lie within OEM/site baseline or point equally to two causes; then escalate to supervisor/OEM.</t>
  </si>
  <si>
    <t xml:space="preserve">Supervisor approval and LOTO: replace/calibrate sensor. Requires supervisor approval and LOTO before work. Tools/expertise: qualified maintenance technician with OEM procedure.</t>
  </si>
  <si>
    <t xml:space="preserve">Pressure transmitter (part numbers/compatibility must come from OEM parts list)</t>
  </si>
  <si>
    <t xml:space="preserve">Calibration. Intervals: per OEM; none invented here.</t>
  </si>
  <si>
    <t xml:space="preserve">Drift.</t>
  </si>
  <si>
    <t xml:space="preserve">case_id</t>
  </si>
  <si>
    <t xml:space="preserve">equipment_class</t>
  </si>
  <si>
    <t xml:space="preserve">equipment_class_id</t>
  </si>
  <si>
    <t xml:space="preserve">plant_facility</t>
  </si>
  <si>
    <t xml:space="preserve">production_line</t>
  </si>
  <si>
    <t xml:space="preserve">equipment_model</t>
  </si>
  <si>
    <t xml:space="preserve">subsystem</t>
  </si>
  <si>
    <t xml:space="preserve">component</t>
  </si>
  <si>
    <t xml:space="preserve">taxonomy_code</t>
  </si>
  <si>
    <t xml:space="preserve">taxonomy_failure_mode</t>
  </si>
  <si>
    <t xml:space="preserve">fm_id_vocab</t>
  </si>
  <si>
    <t xml:space="preserve">fm_label_vocab</t>
  </si>
  <si>
    <t xml:space="preserve">mapping_status</t>
  </si>
  <si>
    <t xml:space="preserve">symptom_category</t>
  </si>
  <si>
    <t xml:space="preserve">symptom_reported_hinglish</t>
  </si>
  <si>
    <t xml:space="preserve">symptom_structured</t>
  </si>
  <si>
    <t xml:space="preserve">operating_status</t>
  </si>
  <si>
    <t xml:space="preserve">symptom_frequency</t>
  </si>
  <si>
    <t xml:space="preserve">severity_proposed</t>
  </si>
  <si>
    <t xml:space="preserve">primary_suspected_cause</t>
  </si>
  <si>
    <t xml:space="preserve">alternative_causes</t>
  </si>
  <si>
    <t xml:space="preserve">failure_mechanism</t>
  </si>
  <si>
    <t xml:space="preserve">differential_diagnosis</t>
  </si>
  <si>
    <t xml:space="preserve">tier1_checks</t>
  </si>
  <si>
    <t xml:space="preserve">tier1_safety</t>
  </si>
  <si>
    <t xml:space="preserve">tier2_measurements</t>
  </si>
  <si>
    <t xml:space="preserve">reference_value_policy</t>
  </si>
  <si>
    <t xml:space="preserve">tier3_action</t>
  </si>
  <si>
    <t xml:space="preserve">required_spares</t>
  </si>
  <si>
    <t xml:space="preserve">loto_requirement</t>
  </si>
  <si>
    <t xml:space="preserve">supervisor_approval_required</t>
  </si>
  <si>
    <t xml:space="preserve">post_repair_verification</t>
  </si>
  <si>
    <t xml:space="preserve">acceptance_criteria</t>
  </si>
  <si>
    <t xml:space="preserve">recurrence_prevention</t>
  </si>
  <si>
    <t xml:space="preserve">early_warning</t>
  </si>
  <si>
    <t xml:space="preserve">source_reliability</t>
  </si>
  <si>
    <t xml:space="preserve">source_ref_ids</t>
  </si>
  <si>
    <t xml:space="preserve">root_cause_confirmation</t>
  </si>
  <si>
    <t xml:space="preserve">verification_status</t>
  </si>
  <si>
    <t xml:space="preserve">supervisor_review_status</t>
  </si>
  <si>
    <t xml:space="preserve">case_origin</t>
  </si>
  <si>
    <t xml:space="preserve">evidence_type</t>
  </si>
  <si>
    <t xml:space="preserve">carried_over_from_seed</t>
  </si>
  <si>
    <t xml:space="preserve">equipment_model_is_illustrative</t>
  </si>
  <si>
    <t xml:space="preserve">record_status</t>
  </si>
  <si>
    <t xml:space="preserve">needs_depth_expansion</t>
  </si>
  <si>
    <t xml:space="preserve">taxonomy_gap</t>
  </si>
  <si>
    <t xml:space="preserve">vocab_gap</t>
  </si>
  <si>
    <t xml:space="preserve">taxonomy_code_proposed</t>
  </si>
  <si>
    <t xml:space="preserve">taxonomy_proposal_status</t>
  </si>
  <si>
    <t xml:space="preserve">synthetic_seed_unreviewed</t>
  </si>
  <si>
    <t xml:space="preserve">demo_only_until_expert_review</t>
  </si>
  <si>
    <t xml:space="preserve">PUMP.HYDR.BLKG</t>
  </si>
  <si>
    <t xml:space="preserve">PROPOSED - not approved</t>
  </si>
  <si>
    <t xml:space="preserve">PUMP.HYDR.RNOT</t>
  </si>
  <si>
    <t xml:space="preserve">PUMP.DRVT.OVLD</t>
  </si>
  <si>
    <t xml:space="preserve">ELEC.MOT.STRT</t>
  </si>
  <si>
    <t xml:space="preserve">ELEC.MOT.OVLD</t>
  </si>
  <si>
    <t xml:space="preserve">ELEC.MOT.VFDF</t>
  </si>
  <si>
    <t xml:space="preserve">Coupling</t>
  </si>
  <si>
    <t xml:space="preserve">ELEC.MOT.CPLG</t>
  </si>
  <si>
    <t xml:space="preserve">COMP.CTRL.PSET</t>
  </si>
  <si>
    <t xml:space="preserve">COMP.MNTG.BOLT</t>
  </si>
  <si>
    <t xml:space="preserve">COMP.DRVT.CPLG</t>
  </si>
  <si>
    <t xml:space="preserve">Controls and Instrumentation</t>
  </si>
  <si>
    <t xml:space="preserve">COMP.CTRL.PSEN</t>
  </si>
  <si>
    <t xml:space="preserve">#</t>
  </si>
  <si>
    <t xml:space="preserve">Item</t>
  </si>
  <si>
    <t xml:space="preserve">Status</t>
  </si>
  <si>
    <t xml:space="preserve">What was done / what is needed</t>
  </si>
  <si>
    <t xml:space="preserve">Owner (suggested)</t>
  </si>
  <si>
    <t xml:space="preserve">Case Origin contradicted Evidence Type</t>
  </si>
  <si>
    <t xml:space="preserve">FIXED</t>
  </si>
  <si>
    <t xml:space="preserve">All 50 rows set to "Synthetic Scenario" (value already in Lists). Evidence Type unchanged.</t>
  </si>
  <si>
    <t xml:space="preserve">M01</t>
  </si>
  <si>
    <t xml:space="preserve">"Original Record Present" column misleading</t>
  </si>
  <si>
    <t xml:space="preserve">Renamed to "Carried Over From Original Seed (Yes/No)"; values unchanged (34 Yes / 16 No).</t>
  </si>
  <si>
    <t xml:space="preserve">65-column sheet not DB-ready</t>
  </si>
  <si>
    <t xml:space="preserve">New Import_View sheet: one column per fact, snake_case headers, 50 rows. Troubleshooting_Cases kept as archive.</t>
  </si>
  <si>
    <t xml:space="preserve">M01 -&gt; M05</t>
  </si>
  <si>
    <t xml:space="preserve">Real brand models on invented scenarios</t>
  </si>
  <si>
    <t xml:space="preserve">PARTLY</t>
  </si>
  <si>
    <t xml:space="preserve">Import_View flags equipment_model_is_illustrative = Yes for all rows. Model names themselves not changed; replace with generic names if reviewers object.</t>
  </si>
  <si>
    <t xml:space="preserve">M01 / M03</t>
  </si>
  <si>
    <t xml:space="preserve">Nothing verified; retrieval would be empty</t>
  </si>
  <si>
    <t xml:space="preserve">Import_View adds record_status = synthetic_seed_unreviewed and retrieval_eligibility = demo_only_until_expert_review. Real verification still needs a practitioner (M03 / external).</t>
  </si>
  <si>
    <t xml:space="preserve">M03</t>
  </si>
  <si>
    <t xml:space="preserve">Uneven depth</t>
  </si>
  <si>
    <t xml:space="preserve">FLAGGED</t>
  </si>
  <si>
    <t xml:space="preserve">Import_View.needs_depth_expansion = Yes for the 15 shortest cases (by combined length of checks, measurements, action, differential, mechanism, verification text). Content must be written by a domain person.</t>
  </si>
  <si>
    <t xml:space="preserve">M02 / M03</t>
  </si>
  <si>
    <t xml:space="preserve">Data_Quality_Report had no stored results</t>
  </si>
  <si>
    <t xml:space="preserve">Workbook recalculated; results stored. WARN rows (ambiguous mappings, vocabulary/taxonomy gaps) are expected and intentionally visible.</t>
  </si>
  <si>
    <t xml:space="preserve">Failure-mode vocabulary unsettled</t>
  </si>
  <si>
    <t xml:space="preserve">OPEN</t>
  </si>
  <si>
    <t xml:space="preserve">FM-xxx IDs are project-local, not ISO 14224; several entries are symptoms not failure modes; 14 AMBIGUOUS, 11 taxonomy gaps, 16 blank original failure modes. Needs a team decision.</t>
  </si>
  <si>
    <t xml:space="preserve">M01 / M02 / M03</t>
  </si>
  <si>
    <t xml:space="preserve">Source references and URLs</t>
  </si>
  <si>
    <t xml:space="preserve">Not checked (no network in prior sessions). Verify each Sources row before presenting.</t>
  </si>
  <si>
    <t xml:space="preserve">GAP text in key columns would break DB joins</t>
  </si>
  <si>
    <t xml:space="preserve">FIXED (Import_View)</t>
  </si>
  <si>
    <t xml:space="preserve">In Import_View, "GAP - ..." text is now NULL (empty) for taxonomy_code, taxonomy_failure_mode, component, fm_id_vocab, fm_label_vocab, with taxonomy_gap / vocab_gap flags (Yes/No). Archive sheet unchanged.</t>
  </si>
  <si>
    <t xml:space="preserve">11 cases without a taxonomy entry</t>
  </si>
  <si>
    <t xml:space="preserve">PROPOSED</t>
  </si>
  <si>
    <t xml:space="preserve">New Taxonomy_Proposed sheet: draft taxonomy rows (subsystem, component, failure mode, code, candidate ISO FM code) for the 11 gap cases. Status PROPOSED; not approved and not linked. Needs M01/M02 review and ISO code verification.</t>
  </si>
  <si>
    <t xml:space="preserve">M01 / M02</t>
  </si>
  <si>
    <t xml:space="preserve">Inconsistent taxonomy code prefix</t>
  </si>
  <si>
    <t xml:space="preserve">One existing code, MOT.MNTG.FEET, uses prefix MOT. while other motor codes use ELEC.MOT. Decide on one scheme before the lookup table is built.</t>
  </si>
  <si>
    <t xml:space="preserve">Missing "Component_Taxonomy" referenced in case text</t>
  </si>
  <si>
    <t xml:space="preserve">CASE-MOT-017 text refers to a Component_Taxonomy entry (CP-MOTOR-COUPLING) that is not part of this workbook. Treat as a pointer to an earlier source file; do not rely on it.</t>
  </si>
  <si>
    <t xml:space="preserve">Diagnostic Step ID</t>
  </si>
  <si>
    <t xml:space="preserve">Step Number</t>
  </si>
  <si>
    <t xml:space="preserve">Troubleshooting Tier</t>
  </si>
  <si>
    <t xml:space="preserve">Diagnostic Question</t>
  </si>
  <si>
    <t xml:space="preserve">Check / Measurement</t>
  </si>
  <si>
    <t xml:space="preserve">Required Instrument</t>
  </si>
  <si>
    <t xml:space="preserve">Expected Observation</t>
  </si>
  <si>
    <t xml:space="preserve">Interpretation</t>
  </si>
  <si>
    <t xml:space="preserve">Possible Failure Indication</t>
  </si>
  <si>
    <t xml:space="preserve">Next Step</t>
  </si>
  <si>
    <t xml:space="preserve">Safety Warning</t>
  </si>
  <si>
    <t xml:space="preserve">Reference</t>
  </si>
  <si>
    <t xml:space="preserve">DS-PUMP-001-01</t>
  </si>
  <si>
    <t xml:space="preserve">Tier 1 - Safety and Visual Checks</t>
  </si>
  <si>
    <t xml:space="preserve">Is this observed: Grease/oil leakage or discoloured grease at housing?</t>
  </si>
  <si>
    <t xml:space="preserve">Grease/oil leakage or discoloured grease at housing</t>
  </si>
  <si>
    <t xml:space="preserve">None (visual / observational)</t>
  </si>
  <si>
    <t xml:space="preserve">Positive: contamination or lubrication loss; absence does not rule out internal wear</t>
  </si>
  <si>
    <t xml:space="preserve">contamination or lubrication loss; absence does not rule out internal wear. Negative does not rule out.</t>
  </si>
  <si>
    <t xml:space="preserve">Grease contaminated by water/dust leading to spalling of DE bearing raceway (supporting only)</t>
  </si>
  <si>
    <t xml:space="preserve">Record finding and continue; after Tier 1 go to Tier 2. Do not conclude from visual checks alone.</t>
  </si>
  <si>
    <t xml:space="preserve">Observe from safe distance; no contact with moving/hot/energised parts.</t>
  </si>
  <si>
    <t xml:space="preserve">S14; S01</t>
  </si>
  <si>
    <t xml:space="preserve">DS-PUMP-001-02</t>
  </si>
  <si>
    <t xml:space="preserve">Is this observed: Water marks, rust or dust ingress around housing?</t>
  </si>
  <si>
    <t xml:space="preserve">Water marks, rust or dust ingress around housing</t>
  </si>
  <si>
    <t xml:space="preserve">Positive: ingress path to bearing</t>
  </si>
  <si>
    <t xml:space="preserve">ingress path to bearing. Negative does not rule out.</t>
  </si>
  <si>
    <t xml:space="preserve">DS-PUMP-001-03</t>
  </si>
  <si>
    <t xml:space="preserve">Is this observed: Unusual noise heard from safe distance?</t>
  </si>
  <si>
    <t xml:space="preserve">Unusual noise heard from safe distance</t>
  </si>
  <si>
    <t xml:space="preserve">Positive: rolling-element damage indicated; not specific to bearing without Tier 2</t>
  </si>
  <si>
    <t xml:space="preserve">rolling-element damage indicated; not specific to bearing without Tier 2. Negative does not rule out.</t>
  </si>
  <si>
    <t xml:space="preserve">DS-PUMP-001-04</t>
  </si>
  <si>
    <t xml:space="preserve">Tier 2 - Non-Invasive Measurements</t>
  </si>
  <si>
    <t xml:space="preserve">What does Bearing housing vibration velocity/acceleration (spectrum) read compared with OEM/site baseline?</t>
  </si>
  <si>
    <t xml:space="preserve">Bearing housing vibration velocity/acceleration (spectrum) at DE housing radial &amp; axial</t>
  </si>
  <si>
    <t xml:space="preserve">Vibration analyser/accelerometer</t>
  </si>
  <si>
    <t xml:space="preserve">Reading compared with OEM specification or approved site baseline (mm/s or g (per instrument/standard))</t>
  </si>
  <si>
    <t xml:space="preserve">bearing-defect frequencies and raised high-frequency noise point to bearing; compare to ISO 20816 method and site baseline</t>
  </si>
  <si>
    <t xml:space="preserve">See differential diagnosis: Misalignment: 2x running-speed and axial vibration; Cavitation: broadband high-frequency noise varying with suction conditions; Looseness: harmonics, </t>
  </si>
  <si>
    <t xml:space="preserve">If consistent with suspected cause AND alternatives excluded, request supervisor review for Tier 3; if ambiguous, repeat or escalate.</t>
  </si>
  <si>
    <t xml:space="preserve">Trained personnel only; electrical measurements by qualified persons under approved procedure.</t>
  </si>
  <si>
    <t xml:space="preserve">No (trained/qualified personnel; site permit as required)</t>
  </si>
  <si>
    <t xml:space="preserve">S03; S14</t>
  </si>
  <si>
    <t xml:space="preserve">DS-PUMP-001-05</t>
  </si>
  <si>
    <t xml:space="preserve">What does Bearing housing surface temperature read compared with OEM/site baseline?</t>
  </si>
  <si>
    <t xml:space="preserve">Bearing housing surface temperature at DE housing</t>
  </si>
  <si>
    <t xml:space="preserve">IR thermometer (non-contact)</t>
  </si>
  <si>
    <t xml:space="preserve">Reading compared with OEM specification or approved site baseline (°C)</t>
  </si>
  <si>
    <t xml:space="preserve">trend vs baseline and vs NDE; OEM limit required</t>
  </si>
  <si>
    <t xml:space="preserve">DS-PUMP-001-06</t>
  </si>
  <si>
    <t xml:space="preserve">What does Motor current (qualified person) read compared with OEM/site baseline?</t>
  </si>
  <si>
    <t xml:space="preserve">Motor current (qualified person) at Starter output</t>
  </si>
  <si>
    <t xml:space="preserve">Clamp meter</t>
  </si>
  <si>
    <t xml:space="preserve">Reading compared with OEM specification or approved site baseline (A)</t>
  </si>
  <si>
    <t xml:space="preserve">normal current supports non-hydraulic cause</t>
  </si>
  <si>
    <t xml:space="preserve">DS-PUMP-001-07</t>
  </si>
  <si>
    <t xml:space="preserve">Tier 3 - Corrective and Intrusive Actions</t>
  </si>
  <si>
    <t xml:space="preserve">Has the supervisor approved the corrective action and has LOTO been applied?</t>
  </si>
  <si>
    <t xml:space="preserve">Isolate (LOTO), drain/depressurise, remove coupling guard and coupling, replace DE bearing set, inspect shaft journal/housing fits, clean housing, refill with OEM-specified lubricant, re-align, reinstall guard.</t>
  </si>
  <si>
    <t xml:space="preserve">Per OEM procedure and site LOTO</t>
  </si>
  <si>
    <t xml:space="preserve">Fault confirmed by Tier 2 results and differential diagnosis</t>
  </si>
  <si>
    <t xml:space="preserve">Repair addresses Grease contaminated by water/dust leading to spalling of DE bearing raceway</t>
  </si>
  <si>
    <t xml:space="preserve">Grease contaminated by water/dust leading to spalling of DE bearing raceway</t>
  </si>
  <si>
    <t xml:space="preserve">Execute only after supervisor approval + LOTO, then run post-repair verification (repeat Tier 2).</t>
  </si>
  <si>
    <t xml:space="preserve">LOTO mandatory; verify zero energy / depressurised; follow OEM manual.</t>
  </si>
  <si>
    <t xml:space="preserve">Yes - mandatory</t>
  </si>
  <si>
    <t xml:space="preserve">S10; S14</t>
  </si>
  <si>
    <t xml:space="preserve">DS-PUMP-002-01</t>
  </si>
  <si>
    <t xml:space="preserve">Is this observed: Leak location (gland, flange, sleeve) and rate?</t>
  </si>
  <si>
    <t xml:space="preserve">Leak location (gland, flange, sleeve) and rate</t>
  </si>
  <si>
    <t xml:space="preserve">Positive: identifies seal vs joint leak</t>
  </si>
  <si>
    <t xml:space="preserve">identifies seal vs joint leak. Negative does not rule out.</t>
  </si>
  <si>
    <t xml:space="preserve">Seal faces worn/damaged by dry running at start-up (supporting only)</t>
  </si>
  <si>
    <t xml:space="preserve">DS-PUMP-002-02</t>
  </si>
  <si>
    <t xml:space="preserve">Is this observed: Fluid colour/smell and slip hazards?</t>
  </si>
  <si>
    <t xml:space="preserve">Fluid colour/smell and slip hazards</t>
  </si>
  <si>
    <t xml:space="preserve">Positive: product type and hazard awareness</t>
  </si>
  <si>
    <t xml:space="preserve">product type and hazard awareness. Negative does not rule out.</t>
  </si>
  <si>
    <t xml:space="preserve">DS-PUMP-002-03</t>
  </si>
  <si>
    <t xml:space="preserve">Is this observed: Flush/quench line condition visible?</t>
  </si>
  <si>
    <t xml:space="preserve">Flush/quench line condition visible</t>
  </si>
  <si>
    <t xml:space="preserve">Positive: blocked or missing flush supports seal-environment cause</t>
  </si>
  <si>
    <t xml:space="preserve">blocked or missing flush supports seal-environment cause. Negative does not rule out.</t>
  </si>
  <si>
    <t xml:space="preserve">DS-PUMP-002-04</t>
  </si>
  <si>
    <t xml:space="preserve">What does Seal chamber/gland housing surface temperature read compared with OEM/site baseline?</t>
  </si>
  <si>
    <t xml:space="preserve">Seal chamber/gland housing surface temperature at Seal housing</t>
  </si>
  <si>
    <t xml:space="preserve">IR thermometer</t>
  </si>
  <si>
    <t xml:space="preserve">elevated vs baseline suggests face contact/dry running</t>
  </si>
  <si>
    <t xml:space="preserve">See differential diagnosis: Bearing/shaft deflection: vibration rise; Elastomer leak: leakage between sleeve and seal; Gland packing leak: adjustable and different drip pattern.</t>
  </si>
  <si>
    <t xml:space="preserve">DS-PUMP-002-05</t>
  </si>
  <si>
    <t xml:space="preserve">What does Suction and discharge pressure read compared with OEM/site baseline?</t>
  </si>
  <si>
    <t xml:space="preserve">Suction and discharge pressure at Taps</t>
  </si>
  <si>
    <t xml:space="preserve">Calibrated gauges</t>
  </si>
  <si>
    <t xml:space="preserve">Reading compared with OEM specification or approved site baseline (bar or kPa (per gauge))</t>
  </si>
  <si>
    <t xml:space="preserve">confirms operation within OEM seal pressure rating</t>
  </si>
  <si>
    <t xml:space="preserve">DS-PUMP-002-06</t>
  </si>
  <si>
    <t xml:space="preserve">What does Seal flush pressure/flow read compared with OEM/site baseline?</t>
  </si>
  <si>
    <t xml:space="preserve">Seal flush pressure/flow at Flush line</t>
  </si>
  <si>
    <t xml:space="preserve">Gauge/flow indicator</t>
  </si>
  <si>
    <t xml:space="preserve">low flow suggests flush fault</t>
  </si>
  <si>
    <t xml:space="preserve">DS-PUMP-002-07</t>
  </si>
  <si>
    <t xml:space="preserve">With supervisor approval and LOTO: isolate, depressurise, drain; remove seal; inspect shaft sleeve and faces; fit new seal per OEM/API 682 practice; restore flush; prove no leakage under controlled start.</t>
  </si>
  <si>
    <t xml:space="preserve">Repair addresses Seal faces worn/damaged by dry running at start-up</t>
  </si>
  <si>
    <t xml:space="preserve">Seal faces worn/damaged by dry running at start-up</t>
  </si>
  <si>
    <t xml:space="preserve">DS-PUMP-003-01</t>
  </si>
  <si>
    <t xml:space="preserve">Is this observed: Coupling guard condition and visible gaps?</t>
  </si>
  <si>
    <t xml:space="preserve">Coupling guard condition and visible gaps</t>
  </si>
  <si>
    <t xml:space="preserve">Positive: asymmetric gaps hint at misalignment; do not remove guard</t>
  </si>
  <si>
    <t xml:space="preserve">asymmetric gaps hint at misalignment; do not remove guard. Negative does not rule out.</t>
  </si>
  <si>
    <t xml:space="preserve">Angular/parallel shaft misalignment after motor replacement (supporting only)</t>
  </si>
  <si>
    <t xml:space="preserve">DS-PUMP-003-02</t>
  </si>
  <si>
    <t xml:space="preserve">Is this observed: Foot/baseplate bolts and shims visible?</t>
  </si>
  <si>
    <t xml:space="preserve">Foot/baseplate bolts and shims visible</t>
  </si>
  <si>
    <t xml:space="preserve">Positive: missing or loose hardware</t>
  </si>
  <si>
    <t xml:space="preserve">missing or loose hardware. Negative does not rule out.</t>
  </si>
  <si>
    <t xml:space="preserve">DS-PUMP-003-03</t>
  </si>
  <si>
    <t xml:space="preserve">Is this observed: Pipe connections visibly pulling on casing?</t>
  </si>
  <si>
    <t xml:space="preserve">Pipe connections visibly pulling on casing</t>
  </si>
  <si>
    <t xml:space="preserve">Positive: pipe-strain source</t>
  </si>
  <si>
    <t xml:space="preserve">pipe-strain source. Negative does not rule out.</t>
  </si>
  <si>
    <t xml:space="preserve">DS-PUMP-003-04</t>
  </si>
  <si>
    <t xml:space="preserve">What does Vibration spectrum (1x, 2x, axial) read compared with OEM/site baseline?</t>
  </si>
  <si>
    <t xml:space="preserve">Vibration spectrum (1x, 2x, axial) at Bearing housings both machines</t>
  </si>
  <si>
    <t xml:space="preserve">Vibration analyser</t>
  </si>
  <si>
    <t xml:space="preserve">strong 1x/2x and axial vibration support misalignment</t>
  </si>
  <si>
    <t xml:space="preserve">See differential diagnosis: Bearing defect: high-frequency content; Imbalance: 1x radial, no axial; Cavitation: broadband and pressure fluctuation.</t>
  </si>
  <si>
    <t xml:space="preserve">DS-PUMP-003-05</t>
  </si>
  <si>
    <t xml:space="preserve">What does Bearing housing temperature read compared with OEM/site baseline?</t>
  </si>
  <si>
    <t xml:space="preserve">Bearing housing temperature at Both machines</t>
  </si>
  <si>
    <t xml:space="preserve">compare against baseline</t>
  </si>
  <si>
    <t xml:space="preserve">DS-PUMP-003-06</t>
  </si>
  <si>
    <t xml:space="preserve">What does Laser/dial alignment (after approved isolation - see Tier 3) read compared with OEM/site baseline?</t>
  </si>
  <si>
    <t xml:space="preserve">Laser/dial alignment (after approved isolation - see Tier 3) at Per OEM / site procedure (measurement point to be marked on equipment)</t>
  </si>
  <si>
    <t xml:space="preserve">Laser/dial alignment tool (after approved isolation)</t>
  </si>
  <si>
    <t xml:space="preserve">Reading compared with OEM specification or approved site baseline (Per instrument)</t>
  </si>
  <si>
    <t xml:space="preserve">determines offset</t>
  </si>
  <si>
    <t xml:space="preserve">DS-PUMP-003-07</t>
  </si>
  <si>
    <t xml:space="preserve">LOTO and supervisor approval: isolate, remove guard, check soft foot, correct alignment with laser/dial indicator to OEM tolerance, recheck pipe strain, refit guard, verify vibration.</t>
  </si>
  <si>
    <t xml:space="preserve">Repair addresses Angular/parallel shaft misalignment after motor replacement</t>
  </si>
  <si>
    <t xml:space="preserve">Angular/parallel shaft misalignment after motor replacement</t>
  </si>
  <si>
    <t xml:space="preserve">DS-PUMP-004-01</t>
  </si>
  <si>
    <t xml:space="preserve">Is this observed: Suction valve fully open?</t>
  </si>
  <si>
    <t xml:space="preserve">Suction valve fully open</t>
  </si>
  <si>
    <t xml:space="preserve">Positive: closed/partly closed valve gives same symptom</t>
  </si>
  <si>
    <t xml:space="preserve">closed/partly closed valve gives same symptom. Negative does not rule out.</t>
  </si>
  <si>
    <t xml:space="preserve">Partially blocked suction strainer (supporting only)</t>
  </si>
  <si>
    <t xml:space="preserve">DS-PUMP-004-02</t>
  </si>
  <si>
    <t xml:space="preserve">Is this observed: Strainer differential gauge or visible fouling?</t>
  </si>
  <si>
    <t xml:space="preserve">Strainer differential gauge or visible fouling</t>
  </si>
  <si>
    <t xml:space="preserve">Positive: high differential supports blockage</t>
  </si>
  <si>
    <t xml:space="preserve">high differential supports blockage. Negative does not rule out.</t>
  </si>
  <si>
    <t xml:space="preserve">DS-PUMP-004-03</t>
  </si>
  <si>
    <t xml:space="preserve">Is this observed: Tank level and visible debris?</t>
  </si>
  <si>
    <t xml:space="preserve">Tank level and visible debris</t>
  </si>
  <si>
    <t xml:space="preserve">Positive: low level or debris source</t>
  </si>
  <si>
    <t xml:space="preserve">low level or debris source. Negative does not rule out.</t>
  </si>
  <si>
    <t xml:space="preserve">DS-PUMP-004-04</t>
  </si>
  <si>
    <t xml:space="preserve">What does Suction pressure/vacuum read compared with OEM/site baseline?</t>
  </si>
  <si>
    <t xml:space="preserve">Suction pressure/vacuum at Suction tap</t>
  </si>
  <si>
    <t xml:space="preserve">Gauge</t>
  </si>
  <si>
    <t xml:space="preserve">compare with baseline at same duty</t>
  </si>
  <si>
    <t xml:space="preserve">See differential diagnosis: Impeller wear: suction normal but head low; Prime loss: no flow; Valve closed: vacuum high but strainer ΔP normal.</t>
  </si>
  <si>
    <t xml:space="preserve">DS-PUMP-004-05</t>
  </si>
  <si>
    <t xml:space="preserve">What does Discharge pressure and flow read compared with OEM/site baseline?</t>
  </si>
  <si>
    <t xml:space="preserve">Discharge pressure and flow at Per OEM / site procedure (measurement point to be marked on equipment)</t>
  </si>
  <si>
    <t xml:space="preserve">Gauge/flow meter</t>
  </si>
  <si>
    <t xml:space="preserve">compare with pump curve</t>
  </si>
  <si>
    <t xml:space="preserve">DS-PUMP-004-06</t>
  </si>
  <si>
    <t xml:space="preserve">What does Strainer differential pressure read compared with OEM/site baseline?</t>
  </si>
  <si>
    <t xml:space="preserve">Strainer differential pressure at Per OEM / site procedure (measurement point to be marked on equipment)</t>
  </si>
  <si>
    <t xml:space="preserve">Differential gauge</t>
  </si>
  <si>
    <t xml:space="preserve">increase vs clean baseline</t>
  </si>
  <si>
    <t xml:space="preserve">DS-PUMP-004-07</t>
  </si>
  <si>
    <t xml:space="preserve">LOTO and supervisor approval: isolate suction/discharge, drain, open strainer, clean/replace element, inspect for debris source, reinstall, vent and restart under supervision.</t>
  </si>
  <si>
    <t xml:space="preserve">Repair addresses Partially blocked suction strainer</t>
  </si>
  <si>
    <t xml:space="preserve">Partially blocked suction strainer</t>
  </si>
  <si>
    <t xml:space="preserve">DS-PUMP-005-01</t>
  </si>
  <si>
    <t xml:space="preserve">Is this observed: Suction valve position and line obstruction?</t>
  </si>
  <si>
    <t xml:space="preserve">Suction valve position and line obstruction</t>
  </si>
  <si>
    <t xml:space="preserve">Positive: throttled suction</t>
  </si>
  <si>
    <t xml:space="preserve">throttled suction. Negative does not rule out.</t>
  </si>
  <si>
    <t xml:space="preserve">Restricted suction flow giving inadequate NPSH available (supporting only)</t>
  </si>
  <si>
    <t xml:space="preserve">DS-PUMP-005-02</t>
  </si>
  <si>
    <t xml:space="preserve">Is this observed: Tank level and fluid temperature indication?</t>
  </si>
  <si>
    <t xml:space="preserve">Tank level and fluid temperature indication</t>
  </si>
  <si>
    <t xml:space="preserve">Positive: low level/high temperature</t>
  </si>
  <si>
    <t xml:space="preserve">low level/high temperature. Negative does not rule out.</t>
  </si>
  <si>
    <t xml:space="preserve">DS-PUMP-005-03</t>
  </si>
  <si>
    <t xml:space="preserve">Is this observed: Visible air ingress or vortexing at intake?</t>
  </si>
  <si>
    <t xml:space="preserve">Visible air ingress or vortexing at intake</t>
  </si>
  <si>
    <t xml:space="preserve">Positive: air entrainment</t>
  </si>
  <si>
    <t xml:space="preserve">air entrainment. Negative does not rule out.</t>
  </si>
  <si>
    <t xml:space="preserve">DS-PUMP-005-04</t>
  </si>
  <si>
    <t xml:space="preserve">What does Suction pressure vs OEM NPSHr and process data read compared with OEM/site baseline?</t>
  </si>
  <si>
    <t xml:space="preserve">Suction pressure vs OEM NPSHr and process data at Per OEM / site procedure (measurement point to be marked on equipment)</t>
  </si>
  <si>
    <t xml:space="preserve">Gauge, calculation by qualified person</t>
  </si>
  <si>
    <t xml:space="preserve">margin shortfall indicates cavitation</t>
  </si>
  <si>
    <t xml:space="preserve">See differential diagnosis: Bearing defect: discrete frequencies, no pressure swing; Recirculation: occurs at low flow; Air ingress: affected by gland/joint.</t>
  </si>
  <si>
    <t xml:space="preserve">DS-PUMP-005-05</t>
  </si>
  <si>
    <t xml:space="preserve">What does Discharge pressure fluctuation read compared with OEM/site baseline?</t>
  </si>
  <si>
    <t xml:space="preserve">Discharge pressure fluctuation at Per OEM / site procedure (measurement point to be marked on equipment)</t>
  </si>
  <si>
    <t xml:space="preserve">Pressure gauge/transmitter</t>
  </si>
  <si>
    <t xml:space="preserve">oscillation supports cavitation</t>
  </si>
  <si>
    <t xml:space="preserve">DS-PUMP-005-06</t>
  </si>
  <si>
    <t xml:space="preserve">What does Vibration/acoustic high-frequency broadband read compared with OEM/site baseline?</t>
  </si>
  <si>
    <t xml:space="preserve">Vibration/acoustic high-frequency broadband at Per OEM / site procedure (measurement point to be marked on equipment)</t>
  </si>
  <si>
    <t xml:space="preserve">Analyser</t>
  </si>
  <si>
    <t xml:space="preserve">broadband rise</t>
  </si>
  <si>
    <t xml:space="preserve">DS-PUMP-005-07</t>
  </si>
  <si>
    <t xml:space="preserve">LOTO and supervisor approval: correct suction restriction, inspect impeller, replace if eroded, review NPSH margin per ANSI/HI 9.6.1.</t>
  </si>
  <si>
    <t xml:space="preserve">Repair addresses Restricted suction flow giving inadequate NPSH available</t>
  </si>
  <si>
    <t xml:space="preserve">Restricted suction flow giving inadequate NPSH available</t>
  </si>
  <si>
    <t xml:space="preserve">DS-PUMP-006-01</t>
  </si>
  <si>
    <t xml:space="preserve">Is this observed: Leak persists with pump stopped?</t>
  </si>
  <si>
    <t xml:space="preserve">Leak persists with pump stopped</t>
  </si>
  <si>
    <t xml:space="preserve">Positive: static-sealing path rather than face-wear</t>
  </si>
  <si>
    <t xml:space="preserve">static-sealing path rather than face-wear. Negative does not rule out.</t>
  </si>
  <si>
    <t xml:space="preserve">Secondary sealing element (supporting only)</t>
  </si>
  <si>
    <t xml:space="preserve">DS-PUMP-006-02</t>
  </si>
  <si>
    <t xml:space="preserve">Is this observed: Leak path along shaft sleeve vs housing joint?</t>
  </si>
  <si>
    <t xml:space="preserve">Leak path along shaft sleeve vs housing joint</t>
  </si>
  <si>
    <t xml:space="preserve">Positive: locates seal element</t>
  </si>
  <si>
    <t xml:space="preserve">locates seal element. Negative does not rule out.</t>
  </si>
  <si>
    <t xml:space="preserve">DS-PUMP-006-03</t>
  </si>
  <si>
    <t xml:space="preserve">Is this observed: Product compatibility record?</t>
  </si>
  <si>
    <t xml:space="preserve">Product compatibility record</t>
  </si>
  <si>
    <t xml:space="preserve">Positive: change in fluid/temperature</t>
  </si>
  <si>
    <t xml:space="preserve">change in fluid/temperature. Negative does not rule out.</t>
  </si>
  <si>
    <t xml:space="preserve">DS-PUMP-006-04</t>
  </si>
  <si>
    <t xml:space="preserve">What does Fluid temperature read compared with OEM/site baseline?</t>
  </si>
  <si>
    <t xml:space="preserve">Fluid temperature at Per OEM / site procedure (measurement point to be marked on equipment)</t>
  </si>
  <si>
    <t xml:space="preserve">Calibrated thermometer/process instrument</t>
  </si>
  <si>
    <t xml:space="preserve">vs OEM seal limit</t>
  </si>
  <si>
    <t xml:space="preserve">See differential diagnosis: Face wear: leak mainly when running; Joint leak: leakage between flanges; Sleeve fretting: groove on sleeve at inspection.</t>
  </si>
  <si>
    <t xml:space="preserve">DS-PUMP-006-05</t>
  </si>
  <si>
    <t xml:space="preserve">What does Process fluid composition read compared with OEM/site baseline?</t>
  </si>
  <si>
    <t xml:space="preserve">Process fluid composition at Per OEM / site procedure (measurement point to be marked on equipment)</t>
  </si>
  <si>
    <t xml:space="preserve">Lab/process records</t>
  </si>
  <si>
    <t xml:space="preserve">compatibility check</t>
  </si>
  <si>
    <t xml:space="preserve">DS-PUMP-006-06</t>
  </si>
  <si>
    <t xml:space="preserve">What does Seal-housing temperature read compared with OEM/site baseline?</t>
  </si>
  <si>
    <t xml:space="preserve">Seal-housing temperature at Per OEM / site procedure (measurement point to be marked on equipment)</t>
  </si>
  <si>
    <t xml:space="preserve">heating suggests face contact (alternative)</t>
  </si>
  <si>
    <t xml:space="preserve">DS-PUMP-006-07</t>
  </si>
  <si>
    <t xml:space="preserve">LOTO and supervisor approval: isolate, depressurise, drain, replace seal with elastomer rated for fluid/temperature per OEM, leak-test.</t>
  </si>
  <si>
    <t xml:space="preserve">Repair addresses Secondary sealing element</t>
  </si>
  <si>
    <t xml:space="preserve">Secondary sealing element</t>
  </si>
  <si>
    <t xml:space="preserve">DS-PUMP-007-01</t>
  </si>
  <si>
    <t xml:space="preserve">Is this observed: Oil level in sight glass?</t>
  </si>
  <si>
    <t xml:space="preserve">Oil level in sight glass</t>
  </si>
  <si>
    <t xml:space="preserve">Positive: low level supports cause</t>
  </si>
  <si>
    <t xml:space="preserve">low level supports cause. Negative does not rule out.</t>
  </si>
  <si>
    <t xml:space="preserve">Insufficient oil in oil-lubricated bearing sump (supporting only)</t>
  </si>
  <si>
    <t xml:space="preserve">DS-PUMP-007-02</t>
  </si>
  <si>
    <t xml:space="preserve">Is this observed: Oil colour/emulsion?</t>
  </si>
  <si>
    <t xml:space="preserve">Oil colour/emulsion</t>
  </si>
  <si>
    <t xml:space="preserve">Positive: dark/milky indicates degradation or water</t>
  </si>
  <si>
    <t xml:space="preserve">dark/milky indicates degradation or water. Negative does not rule out.</t>
  </si>
  <si>
    <t xml:space="preserve">DS-PUMP-007-03</t>
  </si>
  <si>
    <t xml:space="preserve">Is this observed: Leakage from housing?</t>
  </si>
  <si>
    <t xml:space="preserve">Leakage from housing</t>
  </si>
  <si>
    <t xml:space="preserve">Positive: loss path</t>
  </si>
  <si>
    <t xml:space="preserve">loss path. Negative does not rule out.</t>
  </si>
  <si>
    <t xml:space="preserve">DS-PUMP-007-04</t>
  </si>
  <si>
    <t xml:space="preserve">What does Housing surface temperature read compared with OEM/site baseline?</t>
  </si>
  <si>
    <t xml:space="preserve">Housing surface temperature at Per OEM / site procedure (measurement point to be marked on equipment)</t>
  </si>
  <si>
    <t xml:space="preserve">vs baseline</t>
  </si>
  <si>
    <t xml:space="preserve">See differential diagnosis: Over-lubrication: heat with level high; Misalignment: 1x/2x vibration; Cooling fault: both sides heat.</t>
  </si>
  <si>
    <t xml:space="preserve">DS-PUMP-007-05</t>
  </si>
  <si>
    <t xml:space="preserve">What does Vibration spectrum read compared with OEM/site baseline?</t>
  </si>
  <si>
    <t xml:space="preserve">Vibration spectrum at Per OEM / site procedure (measurement point to be marked on equipment)</t>
  </si>
  <si>
    <t xml:space="preserve">raised high-frequency suggests damage</t>
  </si>
  <si>
    <t xml:space="preserve">DS-PUMP-007-06</t>
  </si>
  <si>
    <t xml:space="preserve">What does Oil sample read compared with OEM/site baseline?</t>
  </si>
  <si>
    <t xml:space="preserve">Oil sample at Per OEM / site procedure (measurement point to be marked on equipment)</t>
  </si>
  <si>
    <t xml:space="preserve">Lab test</t>
  </si>
  <si>
    <t xml:space="preserve">condition indicators</t>
  </si>
  <si>
    <t xml:space="preserve">DS-PUMP-007-07</t>
  </si>
  <si>
    <t xml:space="preserve">LOTO and supervisor approval: drain oil, flush, inspect bearing, replace if damaged, refill to correct level with OEM-specified oil.</t>
  </si>
  <si>
    <t xml:space="preserve">Repair addresses Insufficient oil in oil-lubricated bearing sump</t>
  </si>
  <si>
    <t xml:space="preserve">Insufficient oil in oil-lubricated bearing sump</t>
  </si>
  <si>
    <t xml:space="preserve">DS-PUMP-008-01</t>
  </si>
  <si>
    <t xml:space="preserve">Is this observed: Suction/discharge valve positions?</t>
  </si>
  <si>
    <t xml:space="preserve">Suction/discharge valve positions</t>
  </si>
  <si>
    <t xml:space="preserve">Positive: closed valve alternative</t>
  </si>
  <si>
    <t xml:space="preserve">closed valve alternative. Negative does not rule out.</t>
  </si>
  <si>
    <t xml:space="preserve">Loss of pump prime (supporting only)</t>
  </si>
  <si>
    <t xml:space="preserve">DS-PUMP-008-02</t>
  </si>
  <si>
    <t xml:space="preserve">Is this observed: Casing vent and priming status?</t>
  </si>
  <si>
    <t xml:space="preserve">Casing vent and priming status</t>
  </si>
  <si>
    <t xml:space="preserve">Positive: air present</t>
  </si>
  <si>
    <t xml:space="preserve">air present. Negative does not rule out.</t>
  </si>
  <si>
    <t xml:space="preserve">DS-PUMP-008-03</t>
  </si>
  <si>
    <t xml:space="preserve">Is this observed: Foot valve/priming system condition?</t>
  </si>
  <si>
    <t xml:space="preserve">Foot valve/priming system condition</t>
  </si>
  <si>
    <t xml:space="preserve">Positive: leakage path</t>
  </si>
  <si>
    <t xml:space="preserve">leakage path. Negative does not rule out.</t>
  </si>
  <si>
    <t xml:space="preserve">DS-PUMP-008-04</t>
  </si>
  <si>
    <t xml:space="preserve">What does Discharge/suction pressure read compared with OEM/site baseline?</t>
  </si>
  <si>
    <t xml:space="preserve">Discharge/suction pressure at Per OEM / site procedure (measurement point to be marked on equipment)</t>
  </si>
  <si>
    <t xml:space="preserve">Gauges</t>
  </si>
  <si>
    <t xml:space="preserve">near zero indicates no head</t>
  </si>
  <si>
    <t xml:space="preserve">See differential diagnosis: Wrong rotation: flow weak but present; Blocked strainer: high vacuum; Closed discharge: pressure high.</t>
  </si>
  <si>
    <t xml:space="preserve">DS-PUMP-008-05</t>
  </si>
  <si>
    <t xml:space="preserve">What does Motor current read compared with OEM/site baseline?</t>
  </si>
  <si>
    <t xml:space="preserve">Motor current at Per OEM / site procedure (measurement point to be marked on equipment)</t>
  </si>
  <si>
    <t xml:space="preserve">Clamp meter (qualified)</t>
  </si>
  <si>
    <t xml:space="preserve">low current indicates unloaded pump</t>
  </si>
  <si>
    <t xml:space="preserve">DS-PUMP-008-06</t>
  </si>
  <si>
    <t xml:space="preserve">What does Rotation direction check (visual, approved) read compared with OEM/site baseline?</t>
  </si>
  <si>
    <t xml:space="preserve">Rotation direction check (visual, approved) at Per OEM / site procedure (measurement point to be marked on equipment)</t>
  </si>
  <si>
    <t xml:space="preserve">Instrument to be selected by qualified person</t>
  </si>
  <si>
    <t xml:space="preserve">wrong rotation alternative</t>
  </si>
  <si>
    <t xml:space="preserve">DS-PUMP-008-07</t>
  </si>
  <si>
    <t xml:space="preserve">LOTO and supervisor approval: stop, vent and prime, repair foot valve/suction joint, restart under supervision.</t>
  </si>
  <si>
    <t xml:space="preserve">Repair addresses Loss of pump prime</t>
  </si>
  <si>
    <t xml:space="preserve">Loss of pump prime</t>
  </si>
  <si>
    <t xml:space="preserve">DS-PUMP-009-01</t>
  </si>
  <si>
    <t xml:space="preserve">Is this observed: Lip seal/isolator wear or gaps?</t>
  </si>
  <si>
    <t xml:space="preserve">Lip seal/isolator wear or gaps</t>
  </si>
  <si>
    <t xml:space="preserve">Positive: ingress path</t>
  </si>
  <si>
    <t xml:space="preserve">ingress path. Negative does not rule out.</t>
  </si>
  <si>
    <t xml:space="preserve">Failed housing lip seals/isolators admitting water and dust that contaminate lubricant (supporting only)</t>
  </si>
  <si>
    <t xml:space="preserve">DS-PUMP-009-02</t>
  </si>
  <si>
    <t xml:space="preserve">Is this observed: Washdown/spray exposure?</t>
  </si>
  <si>
    <t xml:space="preserve">Washdown/spray exposure</t>
  </si>
  <si>
    <t xml:space="preserve">Positive: external water source</t>
  </si>
  <si>
    <t xml:space="preserve">external water source. Negative does not rule out.</t>
  </si>
  <si>
    <t xml:space="preserve">DS-PUMP-009-03</t>
  </si>
  <si>
    <t xml:space="preserve">Is this observed: Grease condition at purge point?</t>
  </si>
  <si>
    <t xml:space="preserve">Grease condition at purge point</t>
  </si>
  <si>
    <t xml:space="preserve">Positive: contamination</t>
  </si>
  <si>
    <t xml:space="preserve">contamination. Negative does not rule out.</t>
  </si>
  <si>
    <t xml:space="preserve">DS-PUMP-009-04</t>
  </si>
  <si>
    <t xml:space="preserve">What does Vibration trend after each replacement read compared with OEM/site baseline?</t>
  </si>
  <si>
    <t xml:space="preserve">Vibration trend after each replacement at Per OEM / site procedure (measurement point to be marked on equipment)</t>
  </si>
  <si>
    <t xml:space="preserve">early recurrence</t>
  </si>
  <si>
    <t xml:space="preserve">See differential diagnosis: Misalignment: 2x and axial vibration; Looseness: harmonics; Lubricant error: no contamination.</t>
  </si>
  <si>
    <t xml:space="preserve">DS-PUMP-009-05</t>
  </si>
  <si>
    <t xml:space="preserve">What does Housing temperature read compared with OEM/site baseline?</t>
  </si>
  <si>
    <t xml:space="preserve">Housing temperature at Per OEM / site procedure (measurement point to be marked on equipment)</t>
  </si>
  <si>
    <t xml:space="preserve">trend</t>
  </si>
  <si>
    <t xml:space="preserve">DS-PUMP-009-06</t>
  </si>
  <si>
    <t xml:space="preserve">What does Lubricant analysis read compared with OEM/site baseline?</t>
  </si>
  <si>
    <t xml:space="preserve">Lubricant analysis at Per OEM / site procedure (measurement point to be marked on equipment)</t>
  </si>
  <si>
    <t xml:space="preserve">Lab</t>
  </si>
  <si>
    <t xml:space="preserve">contaminants</t>
  </si>
  <si>
    <t xml:space="preserve">DS-PUMP-009-07</t>
  </si>
  <si>
    <t xml:space="preserve">LOTO and supervisor approval: replace bearings and housing seals/isolators, clean housing, check shaft finish and alignment, protect from washdown.</t>
  </si>
  <si>
    <t xml:space="preserve">Repair addresses Failed housing lip seals/isolators admitting water and dust that contaminate lubricant</t>
  </si>
  <si>
    <t xml:space="preserve">Failed housing lip seals/isolators admitting water and dust that contaminate lubricant</t>
  </si>
  <si>
    <t xml:space="preserve">DS-PUMP-010-01</t>
  </si>
  <si>
    <t xml:space="preserve">Is this observed: Debris in sump/screen?</t>
  </si>
  <si>
    <t xml:space="preserve">Debris in sump/screen</t>
  </si>
  <si>
    <t xml:space="preserve">Positive: source</t>
  </si>
  <si>
    <t xml:space="preserve">source. Negative does not rule out.</t>
  </si>
  <si>
    <t xml:space="preserve">Foreign material lodged in or near impeller, partially blocking vane passage (supporting only)</t>
  </si>
  <si>
    <t xml:space="preserve">DS-PUMP-010-02</t>
  </si>
  <si>
    <t xml:space="preserve">Is this observed: Noise pattern after speed/flow change?</t>
  </si>
  <si>
    <t xml:space="preserve">Noise pattern after speed/flow change</t>
  </si>
  <si>
    <t xml:space="preserve">Positive: debris moving</t>
  </si>
  <si>
    <t xml:space="preserve">debris moving. Negative does not rule out.</t>
  </si>
  <si>
    <t xml:space="preserve">DS-PUMP-010-03</t>
  </si>
  <si>
    <t xml:space="preserve">Is this observed: Strainer integrity?</t>
  </si>
  <si>
    <t xml:space="preserve">Strainer integrity</t>
  </si>
  <si>
    <t xml:space="preserve">Positive: breach</t>
  </si>
  <si>
    <t xml:space="preserve">breach. Negative does not rule out.</t>
  </si>
  <si>
    <t xml:space="preserve">DS-PUMP-010-04</t>
  </si>
  <si>
    <t xml:space="preserve">What does Discharge pressure/flow read compared with OEM/site baseline?</t>
  </si>
  <si>
    <t xml:space="preserve">Discharge pressure/flow at Per OEM / site procedure (measurement point to be marked on equipment)</t>
  </si>
  <si>
    <t xml:space="preserve">vs curve</t>
  </si>
  <si>
    <t xml:space="preserve">See differential diagnosis: Cavitation: broadband; Bearing: constant tonal; Coupling: torque-related.</t>
  </si>
  <si>
    <t xml:space="preserve">DS-PUMP-010-05</t>
  </si>
  <si>
    <t xml:space="preserve">What does Vibration read compared with OEM/site baseline?</t>
  </si>
  <si>
    <t xml:space="preserve">Vibration at Per OEM / site procedure (measurement point to be marked on equipment)</t>
  </si>
  <si>
    <t xml:space="preserve">1x with impact content</t>
  </si>
  <si>
    <t xml:space="preserve">DS-PUMP-010-06</t>
  </si>
  <si>
    <t xml:space="preserve">fluctuation</t>
  </si>
  <si>
    <t xml:space="preserve">DS-PUMP-010-07</t>
  </si>
  <si>
    <t xml:space="preserve">LOTO and supervisor approval: open casing, remove debris, inspect impeller and wear rings, repair/replace, restore screens.</t>
  </si>
  <si>
    <t xml:space="preserve">Repair addresses Foreign material lodged in or near impeller, partially blocking vane passage</t>
  </si>
  <si>
    <t xml:space="preserve">Foreign material lodged in or near impeller, partially blocking vane passage</t>
  </si>
  <si>
    <t xml:space="preserve">DS-PUMP-011-01</t>
  </si>
  <si>
    <t xml:space="preserve">Is this observed: Discharge valve position?</t>
  </si>
  <si>
    <t xml:space="preserve">Discharge valve position</t>
  </si>
  <si>
    <t xml:space="preserve">Positive: wide open</t>
  </si>
  <si>
    <t xml:space="preserve">wide open. Negative does not rule out.</t>
  </si>
  <si>
    <t xml:space="preserve">Pump operating far right of its duty point (supporting only)</t>
  </si>
  <si>
    <t xml:space="preserve">DS-PUMP-011-02</t>
  </si>
  <si>
    <t xml:space="preserve">Is this observed: System changes (bypass open)?</t>
  </si>
  <si>
    <t xml:space="preserve">System changes (bypass open)</t>
  </si>
  <si>
    <t xml:space="preserve">Positive: flow increase</t>
  </si>
  <si>
    <t xml:space="preserve">flow increase. Negative does not rule out.</t>
  </si>
  <si>
    <t xml:space="preserve">DS-PUMP-011-03</t>
  </si>
  <si>
    <t xml:space="preserve">Is this observed: Motor heating indication?</t>
  </si>
  <si>
    <t xml:space="preserve">Motor heating indication</t>
  </si>
  <si>
    <t xml:space="preserve">Positive: load</t>
  </si>
  <si>
    <t xml:space="preserve">load. Negative does not rule out.</t>
  </si>
  <si>
    <t xml:space="preserve">DS-PUMP-011-04</t>
  </si>
  <si>
    <t xml:space="preserve">Gauge/meter</t>
  </si>
  <si>
    <t xml:space="preserve">compare with curve</t>
  </si>
  <si>
    <t xml:space="preserve">See differential diagnosis: Mechanical drag: noise and vibration; Motor fault: unbalanced current.</t>
  </si>
  <si>
    <t xml:space="preserve">DS-PUMP-011-05</t>
  </si>
  <si>
    <t xml:space="preserve">What does Motor current and power read compared with OEM/site baseline?</t>
  </si>
  <si>
    <t xml:space="preserve">Motor current and power at Per OEM / site procedure (measurement point to be marked on equipment)</t>
  </si>
  <si>
    <t xml:space="preserve">Clamp/power analyser (qualified)</t>
  </si>
  <si>
    <t xml:space="preserve">vs nameplate</t>
  </si>
  <si>
    <t xml:space="preserve">DS-PUMP-011-06</t>
  </si>
  <si>
    <t xml:space="preserve">What does Speed read compared with OEM/site baseline?</t>
  </si>
  <si>
    <t xml:space="preserve">Speed at Per OEM / site procedure (measurement point to be marked on equipment)</t>
  </si>
  <si>
    <t xml:space="preserve">Tachometer</t>
  </si>
  <si>
    <t xml:space="preserve">Reading compared with OEM specification or approved site baseline (rpm)</t>
  </si>
  <si>
    <t xml:space="preserve">verify</t>
  </si>
  <si>
    <t xml:space="preserve">DS-PUMP-011-07</t>
  </si>
  <si>
    <t xml:space="preserve">LOTO and supervisor approval where intrusive: adjust system/throttle properly, check impeller trim, inspect for rub.</t>
  </si>
  <si>
    <t xml:space="preserve">Repair addresses Pump operating far right of its duty point</t>
  </si>
  <si>
    <t xml:space="preserve">Pump operating far right of its duty point</t>
  </si>
  <si>
    <t xml:space="preserve">DS-PUMP-012-01</t>
  </si>
  <si>
    <t xml:space="preserve">Is this observed: Overload relay indication?</t>
  </si>
  <si>
    <t xml:space="preserve">Overload relay indication</t>
  </si>
  <si>
    <t xml:space="preserve">Positive: type of trip</t>
  </si>
  <si>
    <t xml:space="preserve">type of trip. Negative does not rule out.</t>
  </si>
  <si>
    <t xml:space="preserve">Mechanical overload from abnormal operating conditions or mechanical binding (supporting only)</t>
  </si>
  <si>
    <t xml:space="preserve">DS-PUMP-012-02</t>
  </si>
  <si>
    <t xml:space="preserve">Is this observed: Shaft turns freely only after approved isolation?</t>
  </si>
  <si>
    <t xml:space="preserve">Shaft turns freely only after approved isolation</t>
  </si>
  <si>
    <t xml:space="preserve">Positive: binding</t>
  </si>
  <si>
    <t xml:space="preserve">binding. Negative does not rule out.</t>
  </si>
  <si>
    <t xml:space="preserve">DS-PUMP-012-03</t>
  </si>
  <si>
    <t xml:space="preserve">Is this observed: Gland/bearing heat?</t>
  </si>
  <si>
    <t xml:space="preserve">Gland/bearing heat</t>
  </si>
  <si>
    <t xml:space="preserve">Positive: friction</t>
  </si>
  <si>
    <t xml:space="preserve">friction. Negative does not rule out.</t>
  </si>
  <si>
    <t xml:space="preserve">DS-PUMP-012-04</t>
  </si>
  <si>
    <t xml:space="preserve">What does Running current per phase read compared with OEM/site baseline?</t>
  </si>
  <si>
    <t xml:space="preserve">Running current per phase at Per OEM / site procedure (measurement point to be marked on equipment)</t>
  </si>
  <si>
    <t xml:space="preserve">See differential diagnosis: Single phasing: current imbalance; Relay setting error: normal current; Flow runout: high flow.</t>
  </si>
  <si>
    <t xml:space="preserve">DS-PUMP-012-05</t>
  </si>
  <si>
    <t xml:space="preserve">What does Supply voltage read compared with OEM/site baseline?</t>
  </si>
  <si>
    <t xml:space="preserve">Supply voltage at Per OEM / site procedure (measurement point to be marked on equipment)</t>
  </si>
  <si>
    <t xml:space="preserve">Meter</t>
  </si>
  <si>
    <t xml:space="preserve">Reading compared with OEM specification or approved site baseline (V)</t>
  </si>
  <si>
    <t xml:space="preserve">low/unbalanced</t>
  </si>
  <si>
    <t xml:space="preserve">DS-PUMP-012-06</t>
  </si>
  <si>
    <t xml:space="preserve">What does Vibration/temperature read compared with OEM/site baseline?</t>
  </si>
  <si>
    <t xml:space="preserve">Vibration/temperature at Per OEM / site procedure (measurement point to be marked on equipment)</t>
  </si>
  <si>
    <t xml:space="preserve">Vibration analyser / accelerometer</t>
  </si>
  <si>
    <t xml:space="preserve">mechanical cause</t>
  </si>
  <si>
    <t xml:space="preserve">DS-PUMP-012-07</t>
  </si>
  <si>
    <t xml:space="preserve">LOTO and supervisor approval: locate binding source, inspect seal/bearing/impeller, verify settings with qualified electrician.</t>
  </si>
  <si>
    <t xml:space="preserve">Repair addresses Mechanical overload from abnormal operating conditions or mechanical binding</t>
  </si>
  <si>
    <t xml:space="preserve">Mechanical overload from abnormal operating conditions or mechanical binding</t>
  </si>
  <si>
    <t xml:space="preserve">DS-PUMP-013-01</t>
  </si>
  <si>
    <t xml:space="preserve">Is this observed: Abrasive service history?</t>
  </si>
  <si>
    <t xml:space="preserve">Abrasive service history</t>
  </si>
  <si>
    <t xml:space="preserve">Positive: wear risk</t>
  </si>
  <si>
    <t xml:space="preserve">wear risk. Negative does not rule out.</t>
  </si>
  <si>
    <t xml:space="preserve">Wear-ring clearance increased by abrasive wear causing internal recirculation (supporting only)</t>
  </si>
  <si>
    <t xml:space="preserve">DS-PUMP-013-02</t>
  </si>
  <si>
    <t xml:space="preserve">Is this observed: Discharge valve/other restrictions?</t>
  </si>
  <si>
    <t xml:space="preserve">Discharge valve/other restrictions</t>
  </si>
  <si>
    <t xml:space="preserve">Positive: alternatives</t>
  </si>
  <si>
    <t xml:space="preserve">alternatives. Negative does not rule out.</t>
  </si>
  <si>
    <t xml:space="preserve">DS-PUMP-013-03</t>
  </si>
  <si>
    <t xml:space="preserve">Is this observed: No external leak?</t>
  </si>
  <si>
    <t xml:space="preserve">No external leak</t>
  </si>
  <si>
    <t xml:space="preserve">Positive: internal cause</t>
  </si>
  <si>
    <t xml:space="preserve">internal cause. Negative does not rule out.</t>
  </si>
  <si>
    <t xml:space="preserve">DS-PUMP-013-04</t>
  </si>
  <si>
    <t xml:space="preserve">What does Head and flow vs OEM curve read compared with OEM/site baseline?</t>
  </si>
  <si>
    <t xml:space="preserve">Head and flow vs OEM curve at Per OEM / site procedure (measurement point to be marked on equipment)</t>
  </si>
  <si>
    <t xml:space="preserve">Gauges/meter</t>
  </si>
  <si>
    <t xml:space="preserve">Reading compared with OEM specification or approved site baseline (m³/h (per meter))</t>
  </si>
  <si>
    <t xml:space="preserve">below curve at normal suction</t>
  </si>
  <si>
    <t xml:space="preserve">See differential diagnosis: Strainer: suction vacuum high; Impeller erosion: visible; Speed: slower.</t>
  </si>
  <si>
    <t xml:space="preserve">DS-PUMP-013-05</t>
  </si>
  <si>
    <t xml:space="preserve">What does Motor power read compared with OEM/site baseline?</t>
  </si>
  <si>
    <t xml:space="preserve">Motor power at Per OEM / site procedure (measurement point to be marked on equipment)</t>
  </si>
  <si>
    <t xml:space="preserve">Reading compared with OEM specification or approved site baseline (kW)</t>
  </si>
  <si>
    <t xml:space="preserve">low-ish for flow</t>
  </si>
  <si>
    <t xml:space="preserve">DS-PUMP-013-06</t>
  </si>
  <si>
    <t xml:space="preserve">normal</t>
  </si>
  <si>
    <t xml:space="preserve">DS-PUMP-013-07</t>
  </si>
  <si>
    <t xml:space="preserve">Repair addresses Wear-ring clearance increased by abrasive wear causing internal recirculation</t>
  </si>
  <si>
    <t xml:space="preserve">Wear-ring clearance increased by abrasive wear causing internal recirculation</t>
  </si>
  <si>
    <t xml:space="preserve">DS-PUMP-014-01</t>
  </si>
  <si>
    <t xml:space="preserve">Is this observed: Rubber dust/cracks visible through guard?</t>
  </si>
  <si>
    <t xml:space="preserve">Rubber dust/cracks visible through guard</t>
  </si>
  <si>
    <t xml:space="preserve">Positive: element wear</t>
  </si>
  <si>
    <t xml:space="preserve">element wear. Negative does not rule out.</t>
  </si>
  <si>
    <t xml:space="preserve">Flexible coupling element degraded or worn (supporting only)</t>
  </si>
  <si>
    <t xml:space="preserve">DS-PUMP-014-02</t>
  </si>
  <si>
    <t xml:space="preserve">Is this observed: Noise at start/stop?</t>
  </si>
  <si>
    <t xml:space="preserve">Noise at start/stop</t>
  </si>
  <si>
    <t xml:space="preserve">Positive: backlash</t>
  </si>
  <si>
    <t xml:space="preserve">backlash. Negative does not rule out.</t>
  </si>
  <si>
    <t xml:space="preserve">DS-PUMP-014-03</t>
  </si>
  <si>
    <t xml:space="preserve">Is this observed: Loose guard?</t>
  </si>
  <si>
    <t xml:space="preserve">Loose guard</t>
  </si>
  <si>
    <t xml:space="preserve">Positive: hazard</t>
  </si>
  <si>
    <t xml:space="preserve">hazard. Negative does not rule out.</t>
  </si>
  <si>
    <t xml:space="preserve">DS-PUMP-014-04</t>
  </si>
  <si>
    <t xml:space="preserve">harmonics and impacts</t>
  </si>
  <si>
    <t xml:space="preserve">See differential diagnosis: Misalignment: steady 1x/2x; Bearing: high frequency.</t>
  </si>
  <si>
    <t xml:space="preserve">DS-PUMP-014-05</t>
  </si>
  <si>
    <t xml:space="preserve">What does Alignment (post-isolation) read compared with OEM/site baseline?</t>
  </si>
  <si>
    <t xml:space="preserve">Alignment (post-isolation) at Per OEM / site procedure (measurement point to be marked on equipment)</t>
  </si>
  <si>
    <t xml:space="preserve">confirm</t>
  </si>
  <si>
    <t xml:space="preserve">DS-PUMP-014-06</t>
  </si>
  <si>
    <t xml:space="preserve">Clamp meter (qualified person)</t>
  </si>
  <si>
    <t xml:space="preserve">oscillation</t>
  </si>
  <si>
    <t xml:space="preserve">DS-PUMP-014-07</t>
  </si>
  <si>
    <t xml:space="preserve">Repair addresses Flexible coupling element degraded or worn</t>
  </si>
  <si>
    <t xml:space="preserve">Flexible coupling element degraded or worn</t>
  </si>
  <si>
    <t xml:space="preserve">DS-PUMP-015-01</t>
  </si>
  <si>
    <t xml:space="preserve">Is this observed: Valve throttled position?</t>
  </si>
  <si>
    <t xml:space="preserve">Valve throttled position</t>
  </si>
  <si>
    <t xml:space="preserve">Positive: low flow</t>
  </si>
  <si>
    <t xml:space="preserve">low flow. Negative does not rule out.</t>
  </si>
  <si>
    <t xml:space="preserve">Low-flow internal recirculation causing radial loads and shaft deflection (supporting only)</t>
  </si>
  <si>
    <t xml:space="preserve">DS-PUMP-015-02</t>
  </si>
  <si>
    <t xml:space="preserve">Is this observed: Noise change with valve?</t>
  </si>
  <si>
    <t xml:space="preserve">Noise change with valve</t>
  </si>
  <si>
    <t xml:space="preserve">Positive: flow-dependent</t>
  </si>
  <si>
    <t xml:space="preserve">flow-dependent. Negative does not rule out.</t>
  </si>
  <si>
    <t xml:space="preserve">DS-PUMP-015-03</t>
  </si>
  <si>
    <t xml:space="preserve">Is this observed: Seal leakage onset?</t>
  </si>
  <si>
    <t xml:space="preserve">Seal leakage onset</t>
  </si>
  <si>
    <t xml:space="preserve">Positive: deflection effect</t>
  </si>
  <si>
    <t xml:space="preserve">deflection effect. Negative does not rule out.</t>
  </si>
  <si>
    <t xml:space="preserve">DS-PUMP-015-04</t>
  </si>
  <si>
    <t xml:space="preserve">What does Flow vs OEM minimum flow read compared with OEM/site baseline?</t>
  </si>
  <si>
    <t xml:space="preserve">Flow vs OEM minimum flow at Per OEM / site procedure (measurement point to be marked on equipment)</t>
  </si>
  <si>
    <t xml:space="preserve">Flow meter</t>
  </si>
  <si>
    <t xml:space="preserve">below minimum</t>
  </si>
  <si>
    <t xml:space="preserve">See differential diagnosis: Cavitation: depends on suction; Misalignment: independent of flow.</t>
  </si>
  <si>
    <t xml:space="preserve">DS-PUMP-015-05</t>
  </si>
  <si>
    <t xml:space="preserve">What does Vibration vs flow read compared with OEM/site baseline?</t>
  </si>
  <si>
    <t xml:space="preserve">Vibration vs flow at Per OEM / site procedure (measurement point to be marked on equipment)</t>
  </si>
  <si>
    <t xml:space="preserve">flow dependence</t>
  </si>
  <si>
    <t xml:space="preserve">DS-PUMP-015-06</t>
  </si>
  <si>
    <t xml:space="preserve">What does Temperature rise in casing read compared with OEM/site baseline?</t>
  </si>
  <si>
    <t xml:space="preserve">Temperature rise in casing at Per OEM / site procedure (measurement point to be marked on equipment)</t>
  </si>
  <si>
    <t xml:space="preserve">IR thermometer (non-contact) or process instrument</t>
  </si>
  <si>
    <t xml:space="preserve">heating</t>
  </si>
  <si>
    <t xml:space="preserve">DS-PUMP-015-07</t>
  </si>
  <si>
    <t xml:space="preserve">Repair addresses Low-flow internal recirculation causing radial loads and shaft deflection</t>
  </si>
  <si>
    <t xml:space="preserve">Low-flow internal recirculation causing radial loads and shaft deflection</t>
  </si>
  <si>
    <t xml:space="preserve">DS-PUMP-016-01</t>
  </si>
  <si>
    <t xml:space="preserve">Is this observed: Bubbles at flange/joints?</t>
  </si>
  <si>
    <t xml:space="preserve">Bubbles at flange/joints</t>
  </si>
  <si>
    <t xml:space="preserve">Positive: leak path</t>
  </si>
  <si>
    <t xml:space="preserve">leak path. Negative does not rule out.</t>
  </si>
  <si>
    <t xml:space="preserve">Air ingress via suction joint or gland seal interface (supporting only)</t>
  </si>
  <si>
    <t xml:space="preserve">DS-PUMP-016-02</t>
  </si>
  <si>
    <t xml:space="preserve">Is this observed: Hissing?</t>
  </si>
  <si>
    <t xml:space="preserve">Hissing</t>
  </si>
  <si>
    <t xml:space="preserve">Positive: air entry</t>
  </si>
  <si>
    <t xml:space="preserve">air entry. Negative does not rule out.</t>
  </si>
  <si>
    <t xml:space="preserve">DS-PUMP-016-03</t>
  </si>
  <si>
    <t xml:space="preserve">Is this observed: Tank vortex?</t>
  </si>
  <si>
    <t xml:space="preserve">Tank vortex</t>
  </si>
  <si>
    <t xml:space="preserve">Positive: intake</t>
  </si>
  <si>
    <t xml:space="preserve">intake. Negative does not rule out.</t>
  </si>
  <si>
    <t xml:space="preserve">DS-PUMP-016-04</t>
  </si>
  <si>
    <t xml:space="preserve">What does Suction pressure read compared with OEM/site baseline?</t>
  </si>
  <si>
    <t xml:space="preserve">Suction pressure at Per OEM / site procedure (measurement point to be marked on equipment)</t>
  </si>
  <si>
    <t xml:space="preserve">unstable</t>
  </si>
  <si>
    <t xml:space="preserve">See differential diagnosis: Cavitation: crackling; Prime loss: no flow.</t>
  </si>
  <si>
    <t xml:space="preserve">DS-PUMP-016-05</t>
  </si>
  <si>
    <t xml:space="preserve">What does Discharge pressure read compared with OEM/site baseline?</t>
  </si>
  <si>
    <t xml:space="preserve">Discharge pressure at Per OEM / site procedure (measurement point to be marked on equipment)</t>
  </si>
  <si>
    <t xml:space="preserve">DS-PUMP-016-06</t>
  </si>
  <si>
    <t xml:space="preserve">broadband</t>
  </si>
  <si>
    <t xml:space="preserve">DS-PUMP-016-07</t>
  </si>
  <si>
    <t xml:space="preserve">Repair addresses Air ingress via suction joint or gland seal interface</t>
  </si>
  <si>
    <t xml:space="preserve">Air ingress via suction joint or gland seal interface</t>
  </si>
  <si>
    <t xml:space="preserve">DS-PUMP-017-01</t>
  </si>
  <si>
    <t xml:space="preserve">Is this observed: Stop and keep distance?</t>
  </si>
  <si>
    <t xml:space="preserve">Stop and keep distance</t>
  </si>
  <si>
    <t xml:space="preserve">Positive: possible damage</t>
  </si>
  <si>
    <t xml:space="preserve">possible damage. Negative does not rule out.</t>
  </si>
  <si>
    <t xml:space="preserve">Pump shaft fatigue fracture (supporting only)</t>
  </si>
  <si>
    <t xml:space="preserve">DS-PUMP-017-02</t>
  </si>
  <si>
    <t xml:space="preserve">Is this observed: Coupling/shaft rotation visible?</t>
  </si>
  <si>
    <t xml:space="preserve">Coupling/shaft rotation visible</t>
  </si>
  <si>
    <t xml:space="preserve">Positive: motor turning pump shaft?</t>
  </si>
  <si>
    <t xml:space="preserve">motor turning pump shaft?. Negative does not rule out.</t>
  </si>
  <si>
    <t xml:space="preserve">DS-PUMP-017-03</t>
  </si>
  <si>
    <t xml:space="preserve">Is this observed: Loose parts/oil?</t>
  </si>
  <si>
    <t xml:space="preserve">Loose parts/oil</t>
  </si>
  <si>
    <t xml:space="preserve">Positive: damage</t>
  </si>
  <si>
    <t xml:space="preserve">damage. Negative does not rule out.</t>
  </si>
  <si>
    <t xml:space="preserve">DS-PUMP-017-04</t>
  </si>
  <si>
    <t xml:space="preserve">unloaded</t>
  </si>
  <si>
    <t xml:space="preserve">See differential diagnosis: Coupling failure: shaft intact; Prime loss: shaft turns.</t>
  </si>
  <si>
    <t xml:space="preserve">DS-PUMP-017-05</t>
  </si>
  <si>
    <t xml:space="preserve">What does Pressure read compared with OEM/site baseline?</t>
  </si>
  <si>
    <t xml:space="preserve">Pressure at Per OEM / site procedure (measurement point to be marked on equipment)</t>
  </si>
  <si>
    <t xml:space="preserve">zero</t>
  </si>
  <si>
    <t xml:space="preserve">DS-PUMP-017-06</t>
  </si>
  <si>
    <t xml:space="preserve">What does Vibration history read compared with OEM/site baseline?</t>
  </si>
  <si>
    <t xml:space="preserve">Vibration history at Per OEM / site procedure (measurement point to be marked on equipment)</t>
  </si>
  <si>
    <t xml:space="preserve">chronic</t>
  </si>
  <si>
    <t xml:space="preserve">DS-PUMP-017-07</t>
  </si>
  <si>
    <t xml:space="preserve">Repair addresses Pump shaft fatigue fracture</t>
  </si>
  <si>
    <t xml:space="preserve">Pump shaft fatigue fracture</t>
  </si>
  <si>
    <t xml:space="preserve">DS-MOT-001-01</t>
  </si>
  <si>
    <t xml:space="preserve">Is this observed: Burning smell/discolouration?</t>
  </si>
  <si>
    <t xml:space="preserve">Burning smell/discolouration</t>
  </si>
  <si>
    <t xml:space="preserve">Positive: thermal damage</t>
  </si>
  <si>
    <t xml:space="preserve">thermal damage. Negative does not rule out.</t>
  </si>
  <si>
    <t xml:space="preserve">Winding turn-to-turn short from chronic overheating and moisture (supporting only)</t>
  </si>
  <si>
    <t xml:space="preserve">DS-MOT-001-02</t>
  </si>
  <si>
    <t xml:space="preserve">Is this observed: Moisture/dirt at terminal box exterior?</t>
  </si>
  <si>
    <t xml:space="preserve">Moisture/dirt at terminal box exterior</t>
  </si>
  <si>
    <t xml:space="preserve">Positive: ingress</t>
  </si>
  <si>
    <t xml:space="preserve">ingress. Negative does not rule out.</t>
  </si>
  <si>
    <t xml:space="preserve">DS-MOT-001-03</t>
  </si>
  <si>
    <t xml:space="preserve">Is this observed: Protection indication?</t>
  </si>
  <si>
    <t xml:space="preserve">Protection indication</t>
  </si>
  <si>
    <t xml:space="preserve">Positive: fault type</t>
  </si>
  <si>
    <t xml:space="preserve">fault type. Negative does not rule out.</t>
  </si>
  <si>
    <t xml:space="preserve">DS-MOT-001-04</t>
  </si>
  <si>
    <t xml:space="preserve">What does Insulation resistance and polarization index read compared with OEM/site baseline?</t>
  </si>
  <si>
    <t xml:space="preserve">Insulation resistance and polarization index at Per OEM / site procedure (measurement point to be marked on equipment)</t>
  </si>
  <si>
    <t xml:space="preserve">Insulation tester (qualified, de-energised, per IEEE 43 practice)</t>
  </si>
  <si>
    <t xml:space="preserve">Reading compared with OEM specification or approved site baseline (MΩ)</t>
  </si>
  <si>
    <t xml:space="preserve">low or falling values suggest insulation degradation; thresholds per OEM/standard</t>
  </si>
  <si>
    <t xml:space="preserve">See differential diagnosis: Supply fault: phase voltage abnormal; Locked rotor: hum, high current; Terminal fault: local damage.</t>
  </si>
  <si>
    <t xml:space="preserve">DS-MOT-001-05</t>
  </si>
  <si>
    <t xml:space="preserve">What does Winding resistance by phase read compared with OEM/site baseline?</t>
  </si>
  <si>
    <t xml:space="preserve">Winding resistance by phase at Per OEM / site procedure (measurement point to be marked on equipment)</t>
  </si>
  <si>
    <t xml:space="preserve">Micro-ohmmeter (qualified)</t>
  </si>
  <si>
    <t xml:space="preserve">Reading compared with OEM specification or approved site baseline (Ω / mΩ)</t>
  </si>
  <si>
    <t xml:space="preserve">asymmetry suggests shorted turns</t>
  </si>
  <si>
    <t xml:space="preserve">DS-MOT-001-06</t>
  </si>
  <si>
    <t xml:space="preserve">rule out supply</t>
  </si>
  <si>
    <t xml:space="preserve">DS-MOT-001-07</t>
  </si>
  <si>
    <t xml:space="preserve">LOTO and supervisor approval: isolate, test/inspect, rewind or replace motor (qualified shop), dry and varnish if applicable.</t>
  </si>
  <si>
    <t xml:space="preserve">Repair addresses Winding turn-to-turn short from chronic overheating and moisture</t>
  </si>
  <si>
    <t xml:space="preserve">DS-MOT-002-01</t>
  </si>
  <si>
    <t xml:space="preserve">Is this observed: Grease extruded at drain/relief?</t>
  </si>
  <si>
    <t xml:space="preserve">Grease extruded at drain/relief</t>
  </si>
  <si>
    <t xml:space="preserve">Positive: overfilled</t>
  </si>
  <si>
    <t xml:space="preserve">overfilled. Negative does not rule out.</t>
  </si>
  <si>
    <t xml:space="preserve">Over-greasing with incompatible grease (supporting only)</t>
  </si>
  <si>
    <t xml:space="preserve">DS-MOT-002-02</t>
  </si>
  <si>
    <t xml:space="preserve">Is this observed: Discolouration/heat?</t>
  </si>
  <si>
    <t xml:space="preserve">Discolouration/heat</t>
  </si>
  <si>
    <t xml:space="preserve">Positive: overheating</t>
  </si>
  <si>
    <t xml:space="preserve">overheating. Negative does not rule out.</t>
  </si>
  <si>
    <t xml:space="preserve">DS-MOT-002-03</t>
  </si>
  <si>
    <t xml:space="preserve">Is this observed: Grease records?</t>
  </si>
  <si>
    <t xml:space="preserve">Grease records</t>
  </si>
  <si>
    <t xml:space="preserve">Positive: type/quantity</t>
  </si>
  <si>
    <t xml:space="preserve">type/quantity. Negative does not rule out.</t>
  </si>
  <si>
    <t xml:space="preserve">DS-MOT-002-04</t>
  </si>
  <si>
    <t xml:space="preserve">What does Bearing temperature read compared with OEM/site baseline?</t>
  </si>
  <si>
    <t xml:space="preserve">Bearing temperature at Per OEM / site procedure (measurement point to be marked on equipment)</t>
  </si>
  <si>
    <t xml:space="preserve">See differential diagnosis: Misalignment: 1x/2x; EDM: fluting; Lubrication-starved: dry grease.</t>
  </si>
  <si>
    <t xml:space="preserve">DS-MOT-002-05</t>
  </si>
  <si>
    <t xml:space="preserve">bearing damage indicators</t>
  </si>
  <si>
    <t xml:space="preserve">DS-MOT-002-06</t>
  </si>
  <si>
    <t xml:space="preserve">DS-MOT-002-07</t>
  </si>
  <si>
    <t xml:space="preserve">LOTO and supervisor approval: purge old grease, inspect/replace bearing, refill correct grease and quantity per OEM.</t>
  </si>
  <si>
    <t xml:space="preserve">Repair addresses Over-greasing with incompatible grease</t>
  </si>
  <si>
    <t xml:space="preserve">DS-MOT-003-01</t>
  </si>
  <si>
    <t xml:space="preserve">Is this observed: Dust on cowl/fins?</t>
  </si>
  <si>
    <t xml:space="preserve">Dust on cowl/fins</t>
  </si>
  <si>
    <t xml:space="preserve">Positive: blockage</t>
  </si>
  <si>
    <t xml:space="preserve">blockage. Negative does not rule out.</t>
  </si>
  <si>
    <t xml:space="preserve">Blocked cooling air passages (supporting only)</t>
  </si>
  <si>
    <t xml:space="preserve">DS-MOT-003-02</t>
  </si>
  <si>
    <t xml:space="preserve">Is this observed: Free air path?</t>
  </si>
  <si>
    <t xml:space="preserve">Free air path</t>
  </si>
  <si>
    <t xml:space="preserve">Positive: obstruction</t>
  </si>
  <si>
    <t xml:space="preserve">obstruction. Negative does not rule out.</t>
  </si>
  <si>
    <t xml:space="preserve">DS-MOT-003-03</t>
  </si>
  <si>
    <t xml:space="preserve">Is this observed: Temperature alarm?</t>
  </si>
  <si>
    <t xml:space="preserve">Temperature alarm</t>
  </si>
  <si>
    <t xml:space="preserve">Positive: severity</t>
  </si>
  <si>
    <t xml:space="preserve">severity. Negative does not rule out.</t>
  </si>
  <si>
    <t xml:space="preserve">DS-MOT-003-04</t>
  </si>
  <si>
    <t xml:space="preserve">What does Winding/frame temperature read compared with OEM/site baseline?</t>
  </si>
  <si>
    <t xml:space="preserve">Winding/frame temperature at Per OEM / site procedure (measurement point to be marked on equipment)</t>
  </si>
  <si>
    <t xml:space="preserve">IR thermometer/RTD reading</t>
  </si>
  <si>
    <t xml:space="preserve">vs OEM class</t>
  </si>
  <si>
    <t xml:space="preserve">See differential diagnosis: Overload: high current; Voltage fault: current/voltage abnormal.</t>
  </si>
  <si>
    <t xml:space="preserve">DS-MOT-003-05</t>
  </si>
  <si>
    <t xml:space="preserve">What does Phase currents read compared with OEM/site baseline?</t>
  </si>
  <si>
    <t xml:space="preserve">Phase currents at Per OEM / site procedure (measurement point to be marked on equipment)</t>
  </si>
  <si>
    <t xml:space="preserve">normal supports cooling cause</t>
  </si>
  <si>
    <t xml:space="preserve">DS-MOT-003-06</t>
  </si>
  <si>
    <t xml:space="preserve">What does Ambient temperature read compared with OEM/site baseline?</t>
  </si>
  <si>
    <t xml:space="preserve">Ambient temperature at Per OEM / site procedure (measurement point to be marked on equipment)</t>
  </si>
  <si>
    <t xml:space="preserve">context</t>
  </si>
  <si>
    <t xml:space="preserve">DS-MOT-003-07</t>
  </si>
  <si>
    <t xml:space="preserve">LOTO and supervisor approval: clean fins/cowl, inspect fan, restore airflow.</t>
  </si>
  <si>
    <t xml:space="preserve">Repair addresses Blocked cooling air passages</t>
  </si>
  <si>
    <t xml:space="preserve">Blocked cooling air passages</t>
  </si>
  <si>
    <t xml:space="preserve">DS-MOT-004-01</t>
  </si>
  <si>
    <t xml:space="preserve">Is this observed: Relay trip flag/setting?</t>
  </si>
  <si>
    <t xml:space="preserve">Relay trip flag/setting</t>
  </si>
  <si>
    <t xml:space="preserve">Positive: state</t>
  </si>
  <si>
    <t xml:space="preserve">state. Negative does not rule out.</t>
  </si>
  <si>
    <t xml:space="preserve">Overload relay tripped by sustained overcurrent or setting issue (supporting only)</t>
  </si>
  <si>
    <t xml:space="preserve">DS-MOT-004-02</t>
  </si>
  <si>
    <t xml:space="preserve">Is this observed: Mechanical jam visible?</t>
  </si>
  <si>
    <t xml:space="preserve">Mechanical jam visible</t>
  </si>
  <si>
    <t xml:space="preserve">Positive: load stuck</t>
  </si>
  <si>
    <t xml:space="preserve">load stuck. Negative does not rule out.</t>
  </si>
  <si>
    <t xml:space="preserve">DS-MOT-004-03</t>
  </si>
  <si>
    <t xml:space="preserve">Is this observed: Supply indication?</t>
  </si>
  <si>
    <t xml:space="preserve">Supply indication</t>
  </si>
  <si>
    <t xml:space="preserve">Positive: power present</t>
  </si>
  <si>
    <t xml:space="preserve">power present. Negative does not rule out.</t>
  </si>
  <si>
    <t xml:space="preserve">DS-MOT-004-04</t>
  </si>
  <si>
    <t xml:space="preserve">Meter (qualified)</t>
  </si>
  <si>
    <t xml:space="preserve">See differential diagnosis: Single-phasing: unbalanced; Jam: high current/hum.</t>
  </si>
  <si>
    <t xml:space="preserve">DS-MOT-004-05</t>
  </si>
  <si>
    <t xml:space="preserve">What does Running current read compared with OEM/site baseline?</t>
  </si>
  <si>
    <t xml:space="preserve">Running current at Per OEM / site procedure (measurement point to be marked on equipment)</t>
  </si>
  <si>
    <t xml:space="preserve">vs rating</t>
  </si>
  <si>
    <t xml:space="preserve">DS-MOT-004-06</t>
  </si>
  <si>
    <t xml:space="preserve">What does Control voltage read compared with OEM/site baseline?</t>
  </si>
  <si>
    <t xml:space="preserve">Control voltage at Per OEM / site procedure (measurement point to be marked on equipment)</t>
  </si>
  <si>
    <t xml:space="preserve">Multimeter (qualified person)</t>
  </si>
  <si>
    <t xml:space="preserve">command present</t>
  </si>
  <si>
    <t xml:space="preserve">DS-MOT-004-07</t>
  </si>
  <si>
    <t xml:space="preserve">LOTO and supervisor approval: check for jam, verify relay setting with electrician, repair root cause.</t>
  </si>
  <si>
    <t xml:space="preserve">Repair addresses Overload relay tripped by sustained overcurrent or setting issue</t>
  </si>
  <si>
    <t xml:space="preserve">Overload relay tripped by sustained overcurrent or setting issue</t>
  </si>
  <si>
    <t xml:space="preserve">DS-MOT-005-01</t>
  </si>
  <si>
    <t xml:space="preserve">Is this observed: Visible loose parts?</t>
  </si>
  <si>
    <t xml:space="preserve">Visible loose parts</t>
  </si>
  <si>
    <t xml:space="preserve">Positive: debris</t>
  </si>
  <si>
    <t xml:space="preserve">debris. Negative does not rule out.</t>
  </si>
  <si>
    <t xml:space="preserve">Rotor imbalance (supporting only)</t>
  </si>
  <si>
    <t xml:space="preserve">DS-MOT-005-02</t>
  </si>
  <si>
    <t xml:space="preserve">Is this observed: Mount condition?</t>
  </si>
  <si>
    <t xml:space="preserve">Mount condition</t>
  </si>
  <si>
    <t xml:space="preserve">Positive: looseness</t>
  </si>
  <si>
    <t xml:space="preserve">looseness. Negative does not rule out.</t>
  </si>
  <si>
    <t xml:space="preserve">DS-MOT-005-03</t>
  </si>
  <si>
    <t xml:space="preserve">Is this observed: Noise?</t>
  </si>
  <si>
    <t xml:space="preserve">Positive: type</t>
  </si>
  <si>
    <t xml:space="preserve">type. Negative does not rule out.</t>
  </si>
  <si>
    <t xml:space="preserve">DS-MOT-005-04</t>
  </si>
  <si>
    <t xml:space="preserve">What does Vibration 1x radial read compared with OEM/site baseline?</t>
  </si>
  <si>
    <t xml:space="preserve">Vibration 1x radial at Per OEM / site procedure (measurement point to be marked on equipment)</t>
  </si>
  <si>
    <t xml:space="preserve">dominant 1x</t>
  </si>
  <si>
    <t xml:space="preserve">See differential diagnosis: Misalignment: axial; Looseness: harmonics.</t>
  </si>
  <si>
    <t xml:space="preserve">DS-MOT-005-05</t>
  </si>
  <si>
    <t xml:space="preserve">What does Phase read compared with OEM/site baseline?</t>
  </si>
  <si>
    <t xml:space="preserve">Phase at Per OEM / site procedure (measurement point to be marked on equipment)</t>
  </si>
  <si>
    <t xml:space="preserve">imbalance signature</t>
  </si>
  <si>
    <t xml:space="preserve">DS-MOT-005-06</t>
  </si>
  <si>
    <t xml:space="preserve">What does Run uncoupled test (approved) read compared with OEM/site baseline?</t>
  </si>
  <si>
    <t xml:space="preserve">Run uncoupled test (approved) at Per OEM / site procedure (measurement point to be marked on equipment)</t>
  </si>
  <si>
    <t xml:space="preserve">isolates motor</t>
  </si>
  <si>
    <t xml:space="preserve">DS-MOT-005-07</t>
  </si>
  <si>
    <t xml:space="preserve">LOTO and supervisor approval: balance rotor (qualified shop), inspect shaft.</t>
  </si>
  <si>
    <t xml:space="preserve">Repair addresses Rotor imbalance</t>
  </si>
  <si>
    <t xml:space="preserve">Rotor imbalance</t>
  </si>
  <si>
    <t xml:space="preserve">DS-MOT-006-01</t>
  </si>
  <si>
    <t xml:space="preserve">Is this observed: Grease condition?</t>
  </si>
  <si>
    <t xml:space="preserve">Grease condition</t>
  </si>
  <si>
    <t xml:space="preserve">Positive: dry</t>
  </si>
  <si>
    <t xml:space="preserve">dry. Negative does not rule out.</t>
  </si>
  <si>
    <t xml:space="preserve">Grease degradation/under-lubrication from overdue relubrication and high ambient (supporting only)</t>
  </si>
  <si>
    <t xml:space="preserve">DS-MOT-006-02</t>
  </si>
  <si>
    <t xml:space="preserve">Is this observed: Relubrication record?</t>
  </si>
  <si>
    <t xml:space="preserve">Relubrication record</t>
  </si>
  <si>
    <t xml:space="preserve">Positive: overdue</t>
  </si>
  <si>
    <t xml:space="preserve">overdue. Negative does not rule out.</t>
  </si>
  <si>
    <t xml:space="preserve">DS-MOT-006-03</t>
  </si>
  <si>
    <t xml:space="preserve">Is this observed: Ambient/ventilation?</t>
  </si>
  <si>
    <t xml:space="preserve">Ambient/ventilation</t>
  </si>
  <si>
    <t xml:space="preserve">Positive: heat</t>
  </si>
  <si>
    <t xml:space="preserve">heat. Negative does not rule out.</t>
  </si>
  <si>
    <t xml:space="preserve">DS-MOT-006-04</t>
  </si>
  <si>
    <t xml:space="preserve">See differential diagnosis: Over-greasing: grease extruded; EDM: fluting.</t>
  </si>
  <si>
    <t xml:space="preserve">DS-MOT-006-05</t>
  </si>
  <si>
    <t xml:space="preserve">What does Vibration/acoustic read compared with OEM/site baseline?</t>
  </si>
  <si>
    <t xml:space="preserve">Vibration/acoustic at Per OEM / site procedure (measurement point to be marked on equipment)</t>
  </si>
  <si>
    <t xml:space="preserve">friction</t>
  </si>
  <si>
    <t xml:space="preserve">DS-MOT-006-06</t>
  </si>
  <si>
    <t xml:space="preserve">What does Current read compared with OEM/site baseline?</t>
  </si>
  <si>
    <t xml:space="preserve">Current at Per OEM / site procedure (measurement point to be marked on equipment)</t>
  </si>
  <si>
    <t xml:space="preserve">DS-MOT-006-07</t>
  </si>
  <si>
    <t xml:space="preserve">LOTO and supervisor approval: regrease/replace bearing per OEM.</t>
  </si>
  <si>
    <t xml:space="preserve">Repair addresses Grease degradation/under-lubrication from overdue relubrication and high ambient</t>
  </si>
  <si>
    <t xml:space="preserve">Grease degradation/under-lubrication from overdue relubrication and high ambient</t>
  </si>
  <si>
    <t xml:space="preserve">DS-MOT-007-01</t>
  </si>
  <si>
    <t xml:space="preserve">Is this observed: Process load change?</t>
  </si>
  <si>
    <t xml:space="preserve">Process load change</t>
  </si>
  <si>
    <t xml:space="preserve">Positive: overload</t>
  </si>
  <si>
    <t xml:space="preserve">overload. Negative does not rule out.</t>
  </si>
  <si>
    <t xml:space="preserve">Excessive driven-equipment load (supporting only)</t>
  </si>
  <si>
    <t xml:space="preserve">DS-MOT-007-02</t>
  </si>
  <si>
    <t xml:space="preserve">Is this observed: Jam?</t>
  </si>
  <si>
    <t xml:space="preserve">Jam</t>
  </si>
  <si>
    <t xml:space="preserve">Positive: mechanical</t>
  </si>
  <si>
    <t xml:space="preserve">mechanical. Negative does not rule out.</t>
  </si>
  <si>
    <t xml:space="preserve">DS-MOT-007-03</t>
  </si>
  <si>
    <t xml:space="preserve">Is this observed: Relay indication?</t>
  </si>
  <si>
    <t xml:space="preserve">Relay indication</t>
  </si>
  <si>
    <t xml:space="preserve">Positive: trip</t>
  </si>
  <si>
    <t xml:space="preserve">trip. Negative does not rule out.</t>
  </si>
  <si>
    <t xml:space="preserve">DS-MOT-007-04</t>
  </si>
  <si>
    <t xml:space="preserve">What does Current vs nameplate read compared with OEM/site baseline?</t>
  </si>
  <si>
    <t xml:space="preserve">Current vs nameplate at Per OEM / site procedure (measurement point to be marked on equipment)</t>
  </si>
  <si>
    <t xml:space="preserve">high</t>
  </si>
  <si>
    <t xml:space="preserve">See differential diagnosis: Voltage low: current high with low volts; Drag: noise.</t>
  </si>
  <si>
    <t xml:space="preserve">DS-MOT-007-05</t>
  </si>
  <si>
    <t xml:space="preserve">What does Voltage read compared with OEM/site baseline?</t>
  </si>
  <si>
    <t xml:space="preserve">Voltage at Per OEM / site procedure (measurement point to be marked on equipment)</t>
  </si>
  <si>
    <t xml:space="preserve">low?</t>
  </si>
  <si>
    <t xml:space="preserve">DS-MOT-007-06</t>
  </si>
  <si>
    <t xml:space="preserve">What does Driven equipment condition read compared with OEM/site baseline?</t>
  </si>
  <si>
    <t xml:space="preserve">Driven equipment condition at Per OEM / site procedure (measurement point to be marked on equipment)</t>
  </si>
  <si>
    <t xml:space="preserve">drag</t>
  </si>
  <si>
    <t xml:space="preserve">DS-MOT-007-07</t>
  </si>
  <si>
    <t xml:space="preserve">LOTO and supervisor approval: reduce load/repair driven equipment, verify protection.</t>
  </si>
  <si>
    <t xml:space="preserve">Repair addresses Excessive driven-equipment load</t>
  </si>
  <si>
    <t xml:space="preserve">Excessive driven-equipment load</t>
  </si>
  <si>
    <t xml:space="preserve">DS-MOT-008-01</t>
  </si>
  <si>
    <t xml:space="preserve">Is this observed: Fuse/breaker status?</t>
  </si>
  <si>
    <t xml:space="preserve">Fuse/breaker status</t>
  </si>
  <si>
    <t xml:space="preserve">Positive: open</t>
  </si>
  <si>
    <t xml:space="preserve">open. Negative does not rule out.</t>
  </si>
  <si>
    <t xml:space="preserve">Loss of one supply phase (supporting only)</t>
  </si>
  <si>
    <t xml:space="preserve">DS-MOT-008-02</t>
  </si>
  <si>
    <t xml:space="preserve">Is this observed: Contactor chatter?</t>
  </si>
  <si>
    <t xml:space="preserve">Contactor chatter</t>
  </si>
  <si>
    <t xml:space="preserve">Positive: poor contact</t>
  </si>
  <si>
    <t xml:space="preserve">poor contact. Negative does not rule out.</t>
  </si>
  <si>
    <t xml:space="preserve">DS-MOT-008-03</t>
  </si>
  <si>
    <t xml:space="preserve">Is this observed: Hum?</t>
  </si>
  <si>
    <t xml:space="preserve">Hum</t>
  </si>
  <si>
    <t xml:space="preserve">Positive: single-phasing sign</t>
  </si>
  <si>
    <t xml:space="preserve">single-phasing sign. Negative does not rule out.</t>
  </si>
  <si>
    <t xml:space="preserve">DS-MOT-008-04</t>
  </si>
  <si>
    <t xml:space="preserve">What does Phase voltages read compared with OEM/site baseline?</t>
  </si>
  <si>
    <t xml:space="preserve">Phase voltages at Per OEM / site procedure (measurement point to be marked on equipment)</t>
  </si>
  <si>
    <t xml:space="preserve">one missing</t>
  </si>
  <si>
    <t xml:space="preserve">See differential diagnosis: Locked rotor: all phases high current.</t>
  </si>
  <si>
    <t xml:space="preserve">DS-MOT-008-05</t>
  </si>
  <si>
    <t xml:space="preserve">unbalanced</t>
  </si>
  <si>
    <t xml:space="preserve">DS-MOT-008-06</t>
  </si>
  <si>
    <t xml:space="preserve">What does Continuity (isolated) read compared with OEM/site baseline?</t>
  </si>
  <si>
    <t xml:space="preserve">Continuity (isolated) at Per OEM / site procedure (measurement point to be marked on equipment)</t>
  </si>
  <si>
    <t xml:space="preserve">open conductor</t>
  </si>
  <si>
    <t xml:space="preserve">DS-MOT-008-07</t>
  </si>
  <si>
    <t xml:space="preserve">LOTO and supervisor approval: repair supply, replace fuse/contactor, test.</t>
  </si>
  <si>
    <t xml:space="preserve">Repair addresses Loss of one supply phase</t>
  </si>
  <si>
    <t xml:space="preserve">Loss of one supply phase</t>
  </si>
  <si>
    <t xml:space="preserve">DS-MOT-009-01</t>
  </si>
  <si>
    <t xml:space="preserve">Is this observed: Moisture marks?</t>
  </si>
  <si>
    <t xml:space="preserve">Moisture marks</t>
  </si>
  <si>
    <t xml:space="preserve">Moisture ingress into windings (supporting only)</t>
  </si>
  <si>
    <t xml:space="preserve">DS-MOT-009-02</t>
  </si>
  <si>
    <t xml:space="preserve">Is this observed: Space-heater condition?</t>
  </si>
  <si>
    <t xml:space="preserve">Space-heater condition</t>
  </si>
  <si>
    <t xml:space="preserve">Positive: off?</t>
  </si>
  <si>
    <t xml:space="preserve">off?. Negative does not rule out.</t>
  </si>
  <si>
    <t xml:space="preserve">DS-MOT-009-03</t>
  </si>
  <si>
    <t xml:space="preserve">Is this observed: Seals?</t>
  </si>
  <si>
    <t xml:space="preserve">Seals</t>
  </si>
  <si>
    <t xml:space="preserve">Positive: damaged</t>
  </si>
  <si>
    <t xml:space="preserve">damaged. Negative does not rule out.</t>
  </si>
  <si>
    <t xml:space="preserve">DS-MOT-009-04</t>
  </si>
  <si>
    <t xml:space="preserve">What does IR/PI read compared with OEM/site baseline?</t>
  </si>
  <si>
    <t xml:space="preserve">IR/PI at Per OEM / site procedure (measurement point to be marked on equipment)</t>
  </si>
  <si>
    <t xml:space="preserve">Insulation tester (qualified)</t>
  </si>
  <si>
    <t xml:space="preserve">trend; limits per IEEE 43/OEM</t>
  </si>
  <si>
    <t xml:space="preserve">See differential diagnosis: Contamination: surface; Ageing: persistent.</t>
  </si>
  <si>
    <t xml:space="preserve">DS-MOT-009-05</t>
  </si>
  <si>
    <t xml:space="preserve">What does Temperature compensation read compared with OEM/site baseline?</t>
  </si>
  <si>
    <t xml:space="preserve">Temperature compensation at Per OEM / site procedure (measurement point to be marked on equipment)</t>
  </si>
  <si>
    <t xml:space="preserve">corrected</t>
  </si>
  <si>
    <t xml:space="preserve">DS-MOT-009-06</t>
  </si>
  <si>
    <t xml:space="preserve">What does Cable test read compared with OEM/site baseline?</t>
  </si>
  <si>
    <t xml:space="preserve">Cable test at Per OEM / site procedure (measurement point to be marked on equipment)</t>
  </si>
  <si>
    <t xml:space="preserve">isolate</t>
  </si>
  <si>
    <t xml:space="preserve">DS-MOT-009-07</t>
  </si>
  <si>
    <t xml:space="preserve">LOTO and supervisor approval: dry out and retest; repair seals.</t>
  </si>
  <si>
    <t xml:space="preserve">Repair addresses Moisture ingress into windings</t>
  </si>
  <si>
    <t xml:space="preserve">Moisture ingress into windings</t>
  </si>
  <si>
    <t xml:space="preserve">DS-MOT-010-01</t>
  </si>
  <si>
    <t xml:space="preserve">Is this observed: Encoder cable/mount?</t>
  </si>
  <si>
    <t xml:space="preserve">Encoder cable/mount</t>
  </si>
  <si>
    <t xml:space="preserve">Faulty speed feedback signal (supporting only)</t>
  </si>
  <si>
    <t xml:space="preserve">DS-MOT-010-02</t>
  </si>
  <si>
    <t xml:space="preserve">Is this observed: Drive display?</t>
  </si>
  <si>
    <t xml:space="preserve">Drive display</t>
  </si>
  <si>
    <t xml:space="preserve">Positive: alarms</t>
  </si>
  <si>
    <t xml:space="preserve">alarms. Negative does not rule out.</t>
  </si>
  <si>
    <t xml:space="preserve">DS-MOT-010-03</t>
  </si>
  <si>
    <t xml:space="preserve">Is this observed: Shielding?</t>
  </si>
  <si>
    <t xml:space="preserve">Shielding</t>
  </si>
  <si>
    <t xml:space="preserve">Positive: grounding</t>
  </si>
  <si>
    <t xml:space="preserve">grounding. Negative does not rule out.</t>
  </si>
  <si>
    <t xml:space="preserve">DS-MOT-010-04</t>
  </si>
  <si>
    <t xml:space="preserve">What does Actual speed read compared with OEM/site baseline?</t>
  </si>
  <si>
    <t xml:space="preserve">Actual speed at Per OEM / site procedure (measurement point to be marked on equipment)</t>
  </si>
  <si>
    <t xml:space="preserve">vs setpoint</t>
  </si>
  <si>
    <t xml:space="preserve">See differential diagnosis: Load variation: speed follows load.</t>
  </si>
  <si>
    <t xml:space="preserve">DS-MOT-010-05</t>
  </si>
  <si>
    <t xml:space="preserve">What does Feedback signal read compared with OEM/site baseline?</t>
  </si>
  <si>
    <t xml:space="preserve">Feedback signal at Per OEM / site procedure (measurement point to be marked on equipment)</t>
  </si>
  <si>
    <t xml:space="preserve">Scope (qualified)</t>
  </si>
  <si>
    <t xml:space="preserve">noise</t>
  </si>
  <si>
    <t xml:space="preserve">DS-MOT-010-06</t>
  </si>
  <si>
    <t xml:space="preserve">What does Drive parameters read compared with OEM/site baseline?</t>
  </si>
  <si>
    <t xml:space="preserve">Drive parameters at Per OEM / site procedure (measurement point to be marked on equipment)</t>
  </si>
  <si>
    <t xml:space="preserve">review</t>
  </si>
  <si>
    <t xml:space="preserve">DS-MOT-010-07</t>
  </si>
  <si>
    <t xml:space="preserve">LOTO and supervisor approval: replace encoder/cable, tune per OEM.</t>
  </si>
  <si>
    <t xml:space="preserve">Repair addresses Faulty speed feedback signal</t>
  </si>
  <si>
    <t xml:space="preserve">Faulty speed feedback signal</t>
  </si>
  <si>
    <t xml:space="preserve">DS-MOT-011-01</t>
  </si>
  <si>
    <t xml:space="preserve">Is this observed: Discolouration?</t>
  </si>
  <si>
    <t xml:space="preserve">Discolouration</t>
  </si>
  <si>
    <t xml:space="preserve">Loose electrical connection (supporting only)</t>
  </si>
  <si>
    <t xml:space="preserve">DS-MOT-011-02</t>
  </si>
  <si>
    <t xml:space="preserve">Is this observed: Smell?</t>
  </si>
  <si>
    <t xml:space="preserve">Smell</t>
  </si>
  <si>
    <t xml:space="preserve">Positive: burning</t>
  </si>
  <si>
    <t xml:space="preserve">burning. Negative does not rule out.</t>
  </si>
  <si>
    <t xml:space="preserve">DS-MOT-011-03</t>
  </si>
  <si>
    <t xml:space="preserve">Is this observed: Cable condition?</t>
  </si>
  <si>
    <t xml:space="preserve">Cable condition</t>
  </si>
  <si>
    <t xml:space="preserve">DS-MOT-011-04</t>
  </si>
  <si>
    <t xml:space="preserve">Clamp</t>
  </si>
  <si>
    <t xml:space="preserve">imbalance</t>
  </si>
  <si>
    <t xml:space="preserve">See differential diagnosis: Supply imbalance: voltage unbalance.</t>
  </si>
  <si>
    <t xml:space="preserve">DS-MOT-011-05</t>
  </si>
  <si>
    <t xml:space="preserve">What does Thermography (safe) read compared with OEM/site baseline?</t>
  </si>
  <si>
    <t xml:space="preserve">Thermography (safe) at Per OEM / site procedure (measurement point to be marked on equipment)</t>
  </si>
  <si>
    <t xml:space="preserve">hot lug</t>
  </si>
  <si>
    <t xml:space="preserve">DS-MOT-011-06</t>
  </si>
  <si>
    <t xml:space="preserve">balance</t>
  </si>
  <si>
    <t xml:space="preserve">DS-MOT-011-07</t>
  </si>
  <si>
    <t xml:space="preserve">LOTO and supervisor approval: retorque/replace lugs per OEM.</t>
  </si>
  <si>
    <t xml:space="preserve">Repair addresses Loose electrical connection</t>
  </si>
  <si>
    <t xml:space="preserve">Loose electrical connection</t>
  </si>
  <si>
    <t xml:space="preserve">DS-MOT-012-01</t>
  </si>
  <si>
    <t xml:space="preserve">Is this observed: Cowl dents?</t>
  </si>
  <si>
    <t xml:space="preserve">Cowl dents</t>
  </si>
  <si>
    <t xml:space="preserve">Positive: strike</t>
  </si>
  <si>
    <t xml:space="preserve">strike. Negative does not rule out.</t>
  </si>
  <si>
    <t xml:space="preserve">Damaged cooling fan (supporting only)</t>
  </si>
  <si>
    <t xml:space="preserve">DS-MOT-012-02</t>
  </si>
  <si>
    <t xml:space="preserve">Is this observed: Airflow?</t>
  </si>
  <si>
    <t xml:space="preserve">Airflow</t>
  </si>
  <si>
    <t xml:space="preserve">Positive: weak</t>
  </si>
  <si>
    <t xml:space="preserve">weak. Negative does not rule out.</t>
  </si>
  <si>
    <t xml:space="preserve">DS-MOT-012-03</t>
  </si>
  <si>
    <t xml:space="preserve">Positive: periodic</t>
  </si>
  <si>
    <t xml:space="preserve">periodic. Negative does not rule out.</t>
  </si>
  <si>
    <t xml:space="preserve">DS-MOT-012-04</t>
  </si>
  <si>
    <t xml:space="preserve">1x</t>
  </si>
  <si>
    <t xml:space="preserve">See differential diagnosis: Bearing: tonal; Rub: contact marks.</t>
  </si>
  <si>
    <t xml:space="preserve">DS-MOT-012-05</t>
  </si>
  <si>
    <t xml:space="preserve">What does Temperature read compared with OEM/site baseline?</t>
  </si>
  <si>
    <t xml:space="preserve">Temperature at Per OEM / site procedure (measurement point to be marked on equipment)</t>
  </si>
  <si>
    <t xml:space="preserve">rising</t>
  </si>
  <si>
    <t xml:space="preserve">DS-MOT-012-06</t>
  </si>
  <si>
    <t xml:space="preserve">What does Airflow check read compared with OEM/site baseline?</t>
  </si>
  <si>
    <t xml:space="preserve">Airflow check at Per OEM / site procedure (measurement point to be marked on equipment)</t>
  </si>
  <si>
    <t xml:space="preserve">Calibrated flow meter</t>
  </si>
  <si>
    <t xml:space="preserve">reduced</t>
  </si>
  <si>
    <t xml:space="preserve">DS-MOT-012-07</t>
  </si>
  <si>
    <t xml:space="preserve">LOTO and supervisor approval: replace fan/cowl.</t>
  </si>
  <si>
    <t xml:space="preserve">Repair addresses Damaged cooling fan</t>
  </si>
  <si>
    <t xml:space="preserve">Damaged cooling fan</t>
  </si>
  <si>
    <t xml:space="preserve">DS-MOT-013-01</t>
  </si>
  <si>
    <t xml:space="preserve">Is this observed: Bolts?</t>
  </si>
  <si>
    <t xml:space="preserve">Bolts</t>
  </si>
  <si>
    <t xml:space="preserve">Positive: loose</t>
  </si>
  <si>
    <t xml:space="preserve">loose. Negative does not rule out.</t>
  </si>
  <si>
    <t xml:space="preserve">Soft foot or loose foundation bolts (supporting only)</t>
  </si>
  <si>
    <t xml:space="preserve">DS-MOT-013-02</t>
  </si>
  <si>
    <t xml:space="preserve">Is this observed: Gap?</t>
  </si>
  <si>
    <t xml:space="preserve">Gap</t>
  </si>
  <si>
    <t xml:space="preserve">Positive: soft foot</t>
  </si>
  <si>
    <t xml:space="preserve">soft foot. Negative does not rule out.</t>
  </si>
  <si>
    <t xml:space="preserve">DS-MOT-013-03</t>
  </si>
  <si>
    <t xml:space="preserve">Is this observed: Rust?</t>
  </si>
  <si>
    <t xml:space="preserve">Rust</t>
  </si>
  <si>
    <t xml:space="preserve">Positive: movement</t>
  </si>
  <si>
    <t xml:space="preserve">movement. Negative does not rule out.</t>
  </si>
  <si>
    <t xml:space="preserve">DS-MOT-013-04</t>
  </si>
  <si>
    <t xml:space="preserve">harmonics</t>
  </si>
  <si>
    <t xml:space="preserve">See differential diagnosis: Imbalance: 1x only.</t>
  </si>
  <si>
    <t xml:space="preserve">DS-MOT-013-05</t>
  </si>
  <si>
    <t xml:space="preserve">What does Foot gap measurement (isolated) read compared with OEM/site baseline?</t>
  </si>
  <si>
    <t xml:space="preserve">Foot gap measurement (isolated) at Per OEM / site procedure (measurement point to be marked on equipment)</t>
  </si>
  <si>
    <t xml:space="preserve">DS-MOT-013-06</t>
  </si>
  <si>
    <t xml:space="preserve">differences</t>
  </si>
  <si>
    <t xml:space="preserve">DS-MOT-013-07</t>
  </si>
  <si>
    <t xml:space="preserve">Repair addresses Soft foot or loose foundation bolts</t>
  </si>
  <si>
    <t xml:space="preserve">Soft foot or loose foundation bolts</t>
  </si>
  <si>
    <t xml:space="preserve">DS-MOT-014-01</t>
  </si>
  <si>
    <t xml:space="preserve">Is this observed: Scraping noise?</t>
  </si>
  <si>
    <t xml:space="preserve">Scraping noise</t>
  </si>
  <si>
    <t xml:space="preserve">Positive: rub</t>
  </si>
  <si>
    <t xml:space="preserve">rub. Negative does not rule out.</t>
  </si>
  <si>
    <t xml:space="preserve">Air-gap eccentricity/rotor-stator rub (supporting only)</t>
  </si>
  <si>
    <t xml:space="preserve">DS-MOT-014-02</t>
  </si>
  <si>
    <t xml:space="preserve">Is this observed: Bearing play?</t>
  </si>
  <si>
    <t xml:space="preserve">Bearing play</t>
  </si>
  <si>
    <t xml:space="preserve">Positive: wear</t>
  </si>
  <si>
    <t xml:space="preserve">wear. Negative does not rule out.</t>
  </si>
  <si>
    <t xml:space="preserve">DS-MOT-014-03</t>
  </si>
  <si>
    <t xml:space="preserve">Is this observed: Heat?</t>
  </si>
  <si>
    <t xml:space="preserve">Heat</t>
  </si>
  <si>
    <t xml:space="preserve">Positive: rise</t>
  </si>
  <si>
    <t xml:space="preserve">rise. Negative does not rule out.</t>
  </si>
  <si>
    <t xml:space="preserve">DS-MOT-014-04</t>
  </si>
  <si>
    <t xml:space="preserve">2xLF</t>
  </si>
  <si>
    <t xml:space="preserve">See differential diagnosis: Looseness: harmonics.</t>
  </si>
  <si>
    <t xml:space="preserve">DS-MOT-014-05</t>
  </si>
  <si>
    <t xml:space="preserve">What does Current spectrum (qualified) read compared with OEM/site baseline?</t>
  </si>
  <si>
    <t xml:space="preserve">Current spectrum (qualified) at Per OEM / site procedure (measurement point to be marked on equipment)</t>
  </si>
  <si>
    <t xml:space="preserve">eccentricity signs</t>
  </si>
  <si>
    <t xml:space="preserve">DS-MOT-014-06</t>
  </si>
  <si>
    <t xml:space="preserve">DS-MOT-014-07</t>
  </si>
  <si>
    <t xml:space="preserve">Repair addresses Air-gap eccentricity/rotor-stator rub</t>
  </si>
  <si>
    <t xml:space="preserve">Air-gap eccentricity/rotor-stator rub</t>
  </si>
  <si>
    <t xml:space="preserve">DS-MOT-015-01</t>
  </si>
  <si>
    <t xml:space="preserve">Is this observed: Pulsing noise?</t>
  </si>
  <si>
    <t xml:space="preserve">Pulsing noise</t>
  </si>
  <si>
    <t xml:space="preserve">Positive: bars</t>
  </si>
  <si>
    <t xml:space="preserve">bars. Negative does not rule out.</t>
  </si>
  <si>
    <t xml:space="preserve">Broken rotor bar (supporting only)</t>
  </si>
  <si>
    <t xml:space="preserve">DS-MOT-015-02</t>
  </si>
  <si>
    <t xml:space="preserve">Is this observed: Current needle swing?</t>
  </si>
  <si>
    <t xml:space="preserve">Current needle swing</t>
  </si>
  <si>
    <t xml:space="preserve">Positive: oscillation</t>
  </si>
  <si>
    <t xml:space="preserve">oscillation. Negative does not rule out.</t>
  </si>
  <si>
    <t xml:space="preserve">DS-MOT-015-03</t>
  </si>
  <si>
    <t xml:space="preserve">Is this observed: Slow start?</t>
  </si>
  <si>
    <t xml:space="preserve">Slow start</t>
  </si>
  <si>
    <t xml:space="preserve">Positive: torque loss</t>
  </si>
  <si>
    <t xml:space="preserve">torque loss. Negative does not rule out.</t>
  </si>
  <si>
    <t xml:space="preserve">DS-MOT-015-04</t>
  </si>
  <si>
    <t xml:space="preserve">What does Current spectrum (MCSA) read compared with OEM/site baseline?</t>
  </si>
  <si>
    <t xml:space="preserve">Current spectrum (MCSA) at Per OEM / site procedure (measurement point to be marked on equipment)</t>
  </si>
  <si>
    <t xml:space="preserve">sidebands</t>
  </si>
  <si>
    <t xml:space="preserve">See differential diagnosis: Supply: unbalanced voltage.</t>
  </si>
  <si>
    <t xml:space="preserve">DS-MOT-015-05</t>
  </si>
  <si>
    <t xml:space="preserve">pole-pass</t>
  </si>
  <si>
    <t xml:space="preserve">DS-MOT-015-06</t>
  </si>
  <si>
    <t xml:space="preserve">slip high</t>
  </si>
  <si>
    <t xml:space="preserve">DS-MOT-015-07</t>
  </si>
  <si>
    <t xml:space="preserve">Repair addresses Broken rotor bar</t>
  </si>
  <si>
    <t xml:space="preserve">Broken rotor bar</t>
  </si>
  <si>
    <t xml:space="preserve">DS-MOT-016-01</t>
  </si>
  <si>
    <t xml:space="preserve">Is this observed: Whine?</t>
  </si>
  <si>
    <t xml:space="preserve">Whine</t>
  </si>
  <si>
    <t xml:space="preserve">Positive: fluting</t>
  </si>
  <si>
    <t xml:space="preserve">fluting. Negative does not rule out.</t>
  </si>
  <si>
    <t xml:space="preserve">Bearing EDM fluting from inverter shaft currents (supporting only)</t>
  </si>
  <si>
    <t xml:space="preserve">DS-MOT-016-02</t>
  </si>
  <si>
    <t xml:space="preserve">Is this observed: VFD install?</t>
  </si>
  <si>
    <t xml:space="preserve">VFD install</t>
  </si>
  <si>
    <t xml:space="preserve">Positive: timeline</t>
  </si>
  <si>
    <t xml:space="preserve">timeline. Negative does not rule out.</t>
  </si>
  <si>
    <t xml:space="preserve">DS-MOT-016-03</t>
  </si>
  <si>
    <t xml:space="preserve">Is this observed: Bearing marks?</t>
  </si>
  <si>
    <t xml:space="preserve">Bearing marks</t>
  </si>
  <si>
    <t xml:space="preserve">Positive: pattern</t>
  </si>
  <si>
    <t xml:space="preserve">pattern. Negative does not rule out.</t>
  </si>
  <si>
    <t xml:space="preserve">DS-MOT-016-04</t>
  </si>
  <si>
    <t xml:space="preserve">What does Shaft voltage read compared with OEM/site baseline?</t>
  </si>
  <si>
    <t xml:space="preserve">Shaft voltage at Per OEM / site procedure (measurement point to be marked on equipment)</t>
  </si>
  <si>
    <t xml:space="preserve">voltage</t>
  </si>
  <si>
    <t xml:space="preserve">See differential diagnosis: Lubrication: no pattern.</t>
  </si>
  <si>
    <t xml:space="preserve">DS-MOT-016-05</t>
  </si>
  <si>
    <t xml:space="preserve">high-frequency</t>
  </si>
  <si>
    <t xml:space="preserve">DS-MOT-016-06</t>
  </si>
  <si>
    <t xml:space="preserve">What does Ground path read compared with OEM/site baseline?</t>
  </si>
  <si>
    <t xml:space="preserve">Ground path at Per OEM / site procedure (measurement point to be marked on equipment)</t>
  </si>
  <si>
    <t xml:space="preserve">check</t>
  </si>
  <si>
    <t xml:space="preserve">DS-MOT-016-07</t>
  </si>
  <si>
    <t xml:space="preserve">Repair addresses Bearing EDM fluting from inverter shaft currents</t>
  </si>
  <si>
    <t xml:space="preserve">Bearing EDM fluting from inverter shaft currents</t>
  </si>
  <si>
    <t xml:space="preserve">DS-MOT-017-01</t>
  </si>
  <si>
    <t xml:space="preserve">Is this observed: Gaps?</t>
  </si>
  <si>
    <t xml:space="preserve">Gaps</t>
  </si>
  <si>
    <t xml:space="preserve">Positive: asymmetric</t>
  </si>
  <si>
    <t xml:space="preserve">asymmetric. Negative does not rule out.</t>
  </si>
  <si>
    <t xml:space="preserve">Shaft misalignment (supporting only)</t>
  </si>
  <si>
    <t xml:space="preserve">DS-MOT-017-02</t>
  </si>
  <si>
    <t xml:space="preserve">DS-MOT-017-03</t>
  </si>
  <si>
    <t xml:space="preserve">Is this observed: Pipe strain?</t>
  </si>
  <si>
    <t xml:space="preserve">Pipe strain</t>
  </si>
  <si>
    <t xml:space="preserve">Positive: none</t>
  </si>
  <si>
    <t xml:space="preserve">none. Negative does not rule out.</t>
  </si>
  <si>
    <t xml:space="preserve">DS-MOT-017-04</t>
  </si>
  <si>
    <t xml:space="preserve">What does Vibration 1x/2x read compared with OEM/site baseline?</t>
  </si>
  <si>
    <t xml:space="preserve">Vibration 1x/2x at Per OEM / site procedure (measurement point to be marked on equipment)</t>
  </si>
  <si>
    <t xml:space="preserve">axial</t>
  </si>
  <si>
    <t xml:space="preserve">See differential diagnosis: Imbalance: radial only.</t>
  </si>
  <si>
    <t xml:space="preserve">DS-MOT-017-05</t>
  </si>
  <si>
    <t xml:space="preserve">bearings</t>
  </si>
  <si>
    <t xml:space="preserve">DS-MOT-017-06</t>
  </si>
  <si>
    <t xml:space="preserve">What does Alignment (isolated) read compared with OEM/site baseline?</t>
  </si>
  <si>
    <t xml:space="preserve">Alignment (isolated) at Per OEM / site procedure (measurement point to be marked on equipment)</t>
  </si>
  <si>
    <t xml:space="preserve">offset</t>
  </si>
  <si>
    <t xml:space="preserve">DS-MOT-017-07</t>
  </si>
  <si>
    <t xml:space="preserve">Repair addresses Shaft misalignment</t>
  </si>
  <si>
    <t xml:space="preserve">Shaft misalignment</t>
  </si>
  <si>
    <t xml:space="preserve">DS-COMP-001-01</t>
  </si>
  <si>
    <t xml:space="preserve">Is this observed: Service indicator/ΔP gauge?</t>
  </si>
  <si>
    <t xml:space="preserve">Service indicator/ΔP gauge</t>
  </si>
  <si>
    <t xml:space="preserve">Positive: high</t>
  </si>
  <si>
    <t xml:space="preserve">high. Negative does not rule out.</t>
  </si>
  <si>
    <t xml:space="preserve">Separator element clogged beyond service life (supporting only)</t>
  </si>
  <si>
    <t xml:space="preserve">DS-COMP-001-02</t>
  </si>
  <si>
    <t xml:space="preserve">Is this observed: Element hours?</t>
  </si>
  <si>
    <t xml:space="preserve">Element hours</t>
  </si>
  <si>
    <t xml:space="preserve">DS-COMP-001-03</t>
  </si>
  <si>
    <t xml:space="preserve">Is this observed: Oil leaks?</t>
  </si>
  <si>
    <t xml:space="preserve">Oil leaks</t>
  </si>
  <si>
    <t xml:space="preserve">Positive: related</t>
  </si>
  <si>
    <t xml:space="preserve">related. Negative does not rule out.</t>
  </si>
  <si>
    <t xml:space="preserve">DS-COMP-001-04</t>
  </si>
  <si>
    <t xml:space="preserve">What does Separator ΔP read compared with OEM/site baseline?</t>
  </si>
  <si>
    <t xml:space="preserve">Separator ΔP at Per OEM / site procedure (measurement point to be marked on equipment)</t>
  </si>
  <si>
    <t xml:space="preserve">Gauge/controller</t>
  </si>
  <si>
    <t xml:space="preserve">vs OEM</t>
  </si>
  <si>
    <t xml:space="preserve">See differential diagnosis: Intake restriction: vacuum high; Inlet valve: partially open.</t>
  </si>
  <si>
    <t xml:space="preserve">DS-COMP-001-05</t>
  </si>
  <si>
    <t xml:space="preserve">DS-COMP-001-06</t>
  </si>
  <si>
    <t xml:space="preserve">What does Discharge temperature read compared with OEM/site baseline?</t>
  </si>
  <si>
    <t xml:space="preserve">Discharge temperature at Per OEM / site procedure (measurement point to be marked on equipment)</t>
  </si>
  <si>
    <t xml:space="preserve">DS-COMP-001-07</t>
  </si>
  <si>
    <t xml:space="preserve">LOTO, depressurise, supervisor approval: replace separator element and oil as per OEM, restore.</t>
  </si>
  <si>
    <t xml:space="preserve">Repair addresses Separator element clogged beyond service life</t>
  </si>
  <si>
    <t xml:space="preserve">Separator element clogged beyond service life</t>
  </si>
  <si>
    <t xml:space="preserve">DS-COMP-002-01</t>
  </si>
  <si>
    <t xml:space="preserve">Is this observed: Fins dust?</t>
  </si>
  <si>
    <t xml:space="preserve">Fins dust</t>
  </si>
  <si>
    <t xml:space="preserve">Positive: fouling</t>
  </si>
  <si>
    <t xml:space="preserve">fouling. Negative does not rule out.</t>
  </si>
  <si>
    <t xml:space="preserve">Oil cooler fins blocked by dust and blocked ventilation louvre (supporting only)</t>
  </si>
  <si>
    <t xml:space="preserve">DS-COMP-002-02</t>
  </si>
  <si>
    <t xml:space="preserve">Is this observed: Louvre?</t>
  </si>
  <si>
    <t xml:space="preserve">Louvre</t>
  </si>
  <si>
    <t xml:space="preserve">Positive: blocked</t>
  </si>
  <si>
    <t xml:space="preserve">blocked. Negative does not rule out.</t>
  </si>
  <si>
    <t xml:space="preserve">DS-COMP-002-03</t>
  </si>
  <si>
    <t xml:space="preserve">Is this observed: Fan?</t>
  </si>
  <si>
    <t xml:space="preserve">Fan</t>
  </si>
  <si>
    <t xml:space="preserve">Positive: running</t>
  </si>
  <si>
    <t xml:space="preserve">running. Negative does not rule out.</t>
  </si>
  <si>
    <t xml:space="preserve">DS-COMP-002-04</t>
  </si>
  <si>
    <t xml:space="preserve">Controller</t>
  </si>
  <si>
    <t xml:space="preserve">See differential diagnosis: Thermostatic valve: oil temp abnormal.</t>
  </si>
  <si>
    <t xml:space="preserve">DS-COMP-002-05</t>
  </si>
  <si>
    <t xml:space="preserve">What does Ambient read compared with OEM/site baseline?</t>
  </si>
  <si>
    <t xml:space="preserve">Ambient at Per OEM / site procedure (measurement point to be marked on equipment)</t>
  </si>
  <si>
    <t xml:space="preserve">DS-COMP-002-06</t>
  </si>
  <si>
    <t xml:space="preserve">What does Cooler ΔT read compared with OEM/site baseline?</t>
  </si>
  <si>
    <t xml:space="preserve">Cooler ΔT at Per OEM / site procedure (measurement point to be marked on equipment)</t>
  </si>
  <si>
    <t xml:space="preserve">DS-COMP-002-07</t>
  </si>
  <si>
    <t xml:space="preserve">LOTO, supervisor approval: clean cooler (OEM method), clear louvre.</t>
  </si>
  <si>
    <t xml:space="preserve">Repair addresses Oil cooler fins blocked by dust and blocked ventilation louvre</t>
  </si>
  <si>
    <t xml:space="preserve">Oil cooler fins blocked by dust and blocked ventilation louvre</t>
  </si>
  <si>
    <t xml:space="preserve">DS-COMP-003-01</t>
  </si>
  <si>
    <t xml:space="preserve">Is this observed: Fins clean?</t>
  </si>
  <si>
    <t xml:space="preserve">Fins clean</t>
  </si>
  <si>
    <t xml:space="preserve">Positive: external excluded</t>
  </si>
  <si>
    <t xml:space="preserve">external excluded. Negative does not rule out.</t>
  </si>
  <si>
    <t xml:space="preserve">Oil-side fouling of cooler core by sludge/varnish (supporting only)</t>
  </si>
  <si>
    <t xml:space="preserve">DS-COMP-003-02</t>
  </si>
  <si>
    <t xml:space="preserve">Is this observed: Oil colour?</t>
  </si>
  <si>
    <t xml:space="preserve">Oil colour</t>
  </si>
  <si>
    <t xml:space="preserve">Positive: dark</t>
  </si>
  <si>
    <t xml:space="preserve">dark. Negative does not rule out.</t>
  </si>
  <si>
    <t xml:space="preserve">DS-COMP-003-03</t>
  </si>
  <si>
    <t xml:space="preserve">Is this observed: Oil level?</t>
  </si>
  <si>
    <t xml:space="preserve">Oil level</t>
  </si>
  <si>
    <t xml:space="preserve">Positive: check</t>
  </si>
  <si>
    <t xml:space="preserve">check. Negative does not rule out.</t>
  </si>
  <si>
    <t xml:space="preserve">DS-COMP-003-04</t>
  </si>
  <si>
    <t xml:space="preserve">What does Cooler in/out temperature read compared with OEM/site baseline?</t>
  </si>
  <si>
    <t xml:space="preserve">Cooler in/out temperature at Per OEM / site procedure (measurement point to be marked on equipment)</t>
  </si>
  <si>
    <t xml:space="preserve">small ΔT</t>
  </si>
  <si>
    <t xml:space="preserve">See differential diagnosis: External fouling: dirty fins.</t>
  </si>
  <si>
    <t xml:space="preserve">DS-COMP-003-05</t>
  </si>
  <si>
    <t xml:space="preserve">What does Oil analysis read compared with OEM/site baseline?</t>
  </si>
  <si>
    <t xml:space="preserve">Oil analysis at Per OEM / site procedure (measurement point to be marked on equipment)</t>
  </si>
  <si>
    <t xml:space="preserve">Laboratory oil analysis</t>
  </si>
  <si>
    <t xml:space="preserve">degraded</t>
  </si>
  <si>
    <t xml:space="preserve">DS-COMP-003-06</t>
  </si>
  <si>
    <t xml:space="preserve">What does Discharge temp read compared with OEM/site baseline?</t>
  </si>
  <si>
    <t xml:space="preserve">Discharge temp at Per OEM / site procedure (measurement point to be marked on equipment)</t>
  </si>
  <si>
    <t xml:space="preserve">DS-COMP-003-07</t>
  </si>
  <si>
    <t xml:space="preserve">LOTO, supervisor approval: flush/replace cooler, change oil.</t>
  </si>
  <si>
    <t xml:space="preserve">Repair addresses Oil-side fouling of cooler core by sludge/varnish</t>
  </si>
  <si>
    <t xml:space="preserve">Oil-side fouling of cooler core by sludge/varnish</t>
  </si>
  <si>
    <t xml:space="preserve">DS-COMP-004-01</t>
  </si>
  <si>
    <t xml:space="preserve">Is this observed: Indicator?</t>
  </si>
  <si>
    <t xml:space="preserve">Indicator</t>
  </si>
  <si>
    <t xml:space="preserve">Positive: red</t>
  </si>
  <si>
    <t xml:space="preserve">red. Negative does not rule out.</t>
  </si>
  <si>
    <t xml:space="preserve">Restricted intake filter (supporting only)</t>
  </si>
  <si>
    <t xml:space="preserve">DS-COMP-004-02</t>
  </si>
  <si>
    <t xml:space="preserve">Is this observed: Filter visual?</t>
  </si>
  <si>
    <t xml:space="preserve">Filter visual</t>
  </si>
  <si>
    <t xml:space="preserve">Positive: dirty</t>
  </si>
  <si>
    <t xml:space="preserve">dirty. Negative does not rule out.</t>
  </si>
  <si>
    <t xml:space="preserve">DS-COMP-004-03</t>
  </si>
  <si>
    <t xml:space="preserve">Is this observed: Intake area?</t>
  </si>
  <si>
    <t xml:space="preserve">Intake area</t>
  </si>
  <si>
    <t xml:space="preserve">Positive: dust</t>
  </si>
  <si>
    <t xml:space="preserve">dust. Negative does not rule out.</t>
  </si>
  <si>
    <t xml:space="preserve">DS-COMP-004-04</t>
  </si>
  <si>
    <t xml:space="preserve">What does Intake vacuum read compared with OEM/site baseline?</t>
  </si>
  <si>
    <t xml:space="preserve">Intake vacuum at Per OEM / site procedure (measurement point to be marked on equipment)</t>
  </si>
  <si>
    <t xml:space="preserve">See differential diagnosis: Separator: current high.</t>
  </si>
  <si>
    <t xml:space="preserve">DS-COMP-004-05</t>
  </si>
  <si>
    <t xml:space="preserve">What does Pressure build time read compared with OEM/site baseline?</t>
  </si>
  <si>
    <t xml:space="preserve">Pressure build time at Per OEM / site procedure (measurement point to be marked on equipment)</t>
  </si>
  <si>
    <t xml:space="preserve">Calibrated pressure gauge/transmitter</t>
  </si>
  <si>
    <t xml:space="preserve">slow</t>
  </si>
  <si>
    <t xml:space="preserve">DS-COMP-004-06</t>
  </si>
  <si>
    <t xml:space="preserve">lower</t>
  </si>
  <si>
    <t xml:space="preserve">DS-COMP-004-07</t>
  </si>
  <si>
    <t xml:space="preserve">LOTO, supervisor approval: replace filter.</t>
  </si>
  <si>
    <t xml:space="preserve">Repair addresses Restricted intake filter</t>
  </si>
  <si>
    <t xml:space="preserve">Restricted intake filter</t>
  </si>
  <si>
    <t xml:space="preserve">DS-COMP-005-01</t>
  </si>
  <si>
    <t xml:space="preserve">Is this observed: Oil in drains?</t>
  </si>
  <si>
    <t xml:space="preserve">Oil in drains</t>
  </si>
  <si>
    <t xml:space="preserve">Positive: carryover</t>
  </si>
  <si>
    <t xml:space="preserve">carryover. Negative does not rule out.</t>
  </si>
  <si>
    <t xml:space="preserve">Degraded/damaged separator element or overfill allowing carryover (supporting only)</t>
  </si>
  <si>
    <t xml:space="preserve">DS-COMP-005-02</t>
  </si>
  <si>
    <t xml:space="preserve">Positive: high?</t>
  </si>
  <si>
    <t xml:space="preserve">high?. Negative does not rule out.</t>
  </si>
  <si>
    <t xml:space="preserve">DS-COMP-005-03</t>
  </si>
  <si>
    <t xml:space="preserve">Is this observed: Scavenge line?</t>
  </si>
  <si>
    <t xml:space="preserve">Scavenge line</t>
  </si>
  <si>
    <t xml:space="preserve">DS-COMP-005-04</t>
  </si>
  <si>
    <t xml:space="preserve">low/normal</t>
  </si>
  <si>
    <t xml:space="preserve">See differential diagnosis: Clogging case 001: high ΔP.</t>
  </si>
  <si>
    <t xml:space="preserve">DS-COMP-005-05</t>
  </si>
  <si>
    <t xml:space="preserve">What does Oil consumption read compared with OEM/site baseline?</t>
  </si>
  <si>
    <t xml:space="preserve">Oil consumption at Per OEM / site procedure (measurement point to be marked on equipment)</t>
  </si>
  <si>
    <t xml:space="preserve">DS-COMP-005-06</t>
  </si>
  <si>
    <t xml:space="preserve">What does Downstream air quality per ISO 8573-1 read compared with OEM/site baseline?</t>
  </si>
  <si>
    <t xml:space="preserve">Downstream air quality per ISO 8573-1 at Per OEM / site procedure (measurement point to be marked on equipment)</t>
  </si>
  <si>
    <t xml:space="preserve">test</t>
  </si>
  <si>
    <t xml:space="preserve">DS-COMP-005-07</t>
  </si>
  <si>
    <t xml:space="preserve">LOTO, supervisor approval: replace element, check scavenge line, set oil level.</t>
  </si>
  <si>
    <t xml:space="preserve">Repair addresses Degraded/damaged separator element or overfill allowing carryover</t>
  </si>
  <si>
    <t xml:space="preserve">Degraded/damaged separator element or overfill allowing carryover</t>
  </si>
  <si>
    <t xml:space="preserve">DS-COMP-006-01</t>
  </si>
  <si>
    <t xml:space="preserve">Is this observed: Cycle time?</t>
  </si>
  <si>
    <t xml:space="preserve">Cycle time</t>
  </si>
  <si>
    <t xml:space="preserve">Positive: short</t>
  </si>
  <si>
    <t xml:space="preserve">short. Negative does not rule out.</t>
  </si>
  <si>
    <t xml:space="preserve">Incorrect control differential settings (supporting only)</t>
  </si>
  <si>
    <t xml:space="preserve">DS-COMP-006-02</t>
  </si>
  <si>
    <t xml:space="preserve">Is this observed: Settings?</t>
  </si>
  <si>
    <t xml:space="preserve">Settings</t>
  </si>
  <si>
    <t xml:space="preserve">Positive: narrow</t>
  </si>
  <si>
    <t xml:space="preserve">narrow. Negative does not rule out.</t>
  </si>
  <si>
    <t xml:space="preserve">DS-COMP-006-03</t>
  </si>
  <si>
    <t xml:space="preserve">Is this observed: Leaks?</t>
  </si>
  <si>
    <t xml:space="preserve">Leaks</t>
  </si>
  <si>
    <t xml:space="preserve">Positive: audible</t>
  </si>
  <si>
    <t xml:space="preserve">audible. Negative does not rule out.</t>
  </si>
  <si>
    <t xml:space="preserve">DS-COMP-006-04</t>
  </si>
  <si>
    <t xml:space="preserve">What does Pressure band read compared with OEM/site baseline?</t>
  </si>
  <si>
    <t xml:space="preserve">Pressure band at Per OEM / site procedure (measurement point to be marked on equipment)</t>
  </si>
  <si>
    <t xml:space="preserve">See differential diagnosis: Leaks: pressure falls at idle.</t>
  </si>
  <si>
    <t xml:space="preserve">DS-COMP-006-05</t>
  </si>
  <si>
    <t xml:space="preserve">What does Cycle count read compared with OEM/site baseline?</t>
  </si>
  <si>
    <t xml:space="preserve">Cycle count at Per OEM / site procedure (measurement point to be marked on equipment)</t>
  </si>
  <si>
    <t xml:space="preserve">DS-COMP-006-06</t>
  </si>
  <si>
    <t xml:space="preserve">What does Leakage read compared with OEM/site baseline?</t>
  </si>
  <si>
    <t xml:space="preserve">Leakage at Per OEM / site procedure (measurement point to be marked on equipment)</t>
  </si>
  <si>
    <t xml:space="preserve">DS-COMP-006-07</t>
  </si>
  <si>
    <t xml:space="preserve">Supervisor approval: adjust settings per OEM.</t>
  </si>
  <si>
    <t xml:space="preserve">Repair addresses Incorrect control differential settings</t>
  </si>
  <si>
    <t xml:space="preserve">Incorrect control differential settings</t>
  </si>
  <si>
    <t xml:space="preserve">DS-COMP-007-01</t>
  </si>
  <si>
    <t xml:space="preserve">Loose mounting bolts (supporting only)</t>
  </si>
  <si>
    <t xml:space="preserve">DS-COMP-007-02</t>
  </si>
  <si>
    <t xml:space="preserve">Is this observed: Pads?</t>
  </si>
  <si>
    <t xml:space="preserve">Pads</t>
  </si>
  <si>
    <t xml:space="preserve">Positive: worn</t>
  </si>
  <si>
    <t xml:space="preserve">worn. Negative does not rule out.</t>
  </si>
  <si>
    <t xml:space="preserve">DS-COMP-007-03</t>
  </si>
  <si>
    <t xml:space="preserve">DS-COMP-007-04</t>
  </si>
  <si>
    <t xml:space="preserve">See differential diagnosis: Bearing: high frequency.</t>
  </si>
  <si>
    <t xml:space="preserve">DS-COMP-007-05</t>
  </si>
  <si>
    <t xml:space="preserve">What does Mount gap read compared with OEM/site baseline?</t>
  </si>
  <si>
    <t xml:space="preserve">Mount gap at Per OEM / site procedure (measurement point to be marked on equipment)</t>
  </si>
  <si>
    <t xml:space="preserve">DS-COMP-007-06</t>
  </si>
  <si>
    <t xml:space="preserve">differ</t>
  </si>
  <si>
    <t xml:space="preserve">DS-COMP-007-07</t>
  </si>
  <si>
    <t xml:space="preserve">LOTO, supervisor approval: torque bolts, replace pads.</t>
  </si>
  <si>
    <t xml:space="preserve">Repair addresses Loose mounting bolts</t>
  </si>
  <si>
    <t xml:space="preserve">Loose mounting bolts</t>
  </si>
  <si>
    <t xml:space="preserve">DS-COMP-008-01</t>
  </si>
  <si>
    <t xml:space="preserve">Is this observed: Valve movement?</t>
  </si>
  <si>
    <t xml:space="preserve">Valve movement</t>
  </si>
  <si>
    <t xml:space="preserve">Positive: stuck</t>
  </si>
  <si>
    <t xml:space="preserve">stuck. Negative does not rule out.</t>
  </si>
  <si>
    <t xml:space="preserve">Inlet/unloader valve failing to open (supporting only)</t>
  </si>
  <si>
    <t xml:space="preserve">DS-COMP-008-02</t>
  </si>
  <si>
    <t xml:space="preserve">Is this observed: Control line?</t>
  </si>
  <si>
    <t xml:space="preserve">Control line</t>
  </si>
  <si>
    <t xml:space="preserve">Positive: leak</t>
  </si>
  <si>
    <t xml:space="preserve">leak. Negative does not rule out.</t>
  </si>
  <si>
    <t xml:space="preserve">DS-COMP-008-03</t>
  </si>
  <si>
    <t xml:space="preserve">DS-COMP-008-04</t>
  </si>
  <si>
    <t xml:space="preserve">abnormal</t>
  </si>
  <si>
    <t xml:space="preserve">See differential diagnosis: Filter: indicator red.</t>
  </si>
  <si>
    <t xml:space="preserve">DS-COMP-008-05</t>
  </si>
  <si>
    <t xml:space="preserve">What does Control pressure read compared with OEM/site baseline?</t>
  </si>
  <si>
    <t xml:space="preserve">Control pressure at Per OEM / site procedure (measurement point to be marked on equipment)</t>
  </si>
  <si>
    <t xml:space="preserve">low</t>
  </si>
  <si>
    <t xml:space="preserve">DS-COMP-008-06</t>
  </si>
  <si>
    <t xml:space="preserve">no rise</t>
  </si>
  <si>
    <t xml:space="preserve">DS-COMP-008-07</t>
  </si>
  <si>
    <t xml:space="preserve">LOTO, supervisor approval: clean/replace valve kit.</t>
  </si>
  <si>
    <t xml:space="preserve">Repair addresses Inlet/unloader valve failing to open</t>
  </si>
  <si>
    <t xml:space="preserve">Inlet/unloader valve failing to open</t>
  </si>
  <si>
    <t xml:space="preserve">DS-COMP-009-01</t>
  </si>
  <si>
    <t xml:space="preserve">Is this observed: Drain output?</t>
  </si>
  <si>
    <t xml:space="preserve">Drain output</t>
  </si>
  <si>
    <t xml:space="preserve">Blocked automatic condensate drain (supporting only)</t>
  </si>
  <si>
    <t xml:space="preserve">DS-COMP-009-02</t>
  </si>
  <si>
    <t xml:space="preserve">Is this observed: Receiver water?</t>
  </si>
  <si>
    <t xml:space="preserve">Receiver water</t>
  </si>
  <si>
    <t xml:space="preserve">Positive: present</t>
  </si>
  <si>
    <t xml:space="preserve">present. Negative does not rule out.</t>
  </si>
  <si>
    <t xml:space="preserve">DS-COMP-009-03</t>
  </si>
  <si>
    <t xml:space="preserve">Is this observed: Line condition?</t>
  </si>
  <si>
    <t xml:space="preserve">Line condition</t>
  </si>
  <si>
    <t xml:space="preserve">Positive: wet</t>
  </si>
  <si>
    <t xml:space="preserve">wet. Negative does not rule out.</t>
  </si>
  <si>
    <t xml:space="preserve">DS-COMP-009-04</t>
  </si>
  <si>
    <t xml:space="preserve">What does Dewpoint read compared with OEM/site baseline?</t>
  </si>
  <si>
    <t xml:space="preserve">Dewpoint at Per OEM / site procedure (measurement point to be marked on equipment)</t>
  </si>
  <si>
    <t xml:space="preserve">See differential diagnosis: Dryer fault.</t>
  </si>
  <si>
    <t xml:space="preserve">DS-COMP-009-05</t>
  </si>
  <si>
    <t xml:space="preserve">What does Drain cycle read compared with OEM/site baseline?</t>
  </si>
  <si>
    <t xml:space="preserve">Drain cycle at Per OEM / site procedure (measurement point to be marked on equipment)</t>
  </si>
  <si>
    <t xml:space="preserve">DS-COMP-009-06</t>
  </si>
  <si>
    <t xml:space="preserve">DS-COMP-009-07</t>
  </si>
  <si>
    <t xml:space="preserve">LOTO, supervisor approval: clean/replace drain.</t>
  </si>
  <si>
    <t xml:space="preserve">Repair addresses Blocked automatic condensate drain</t>
  </si>
  <si>
    <t xml:space="preserve">Blocked automatic condensate drain</t>
  </si>
  <si>
    <t xml:space="preserve">DS-COMP-010-01</t>
  </si>
  <si>
    <t xml:space="preserve">Is this observed: Dust?</t>
  </si>
  <si>
    <t xml:space="preserve">Dust</t>
  </si>
  <si>
    <t xml:space="preserve">Worn drive coupling (supporting only)</t>
  </si>
  <si>
    <t xml:space="preserve">DS-COMP-010-02</t>
  </si>
  <si>
    <t xml:space="preserve">Positive: start</t>
  </si>
  <si>
    <t xml:space="preserve">start. Negative does not rule out.</t>
  </si>
  <si>
    <t xml:space="preserve">DS-COMP-010-03</t>
  </si>
  <si>
    <t xml:space="preserve">Is this observed: Guard?</t>
  </si>
  <si>
    <t xml:space="preserve">Guard</t>
  </si>
  <si>
    <t xml:space="preserve">Positive: ok</t>
  </si>
  <si>
    <t xml:space="preserve">ok. Negative does not rule out.</t>
  </si>
  <si>
    <t xml:space="preserve">DS-COMP-010-04</t>
  </si>
  <si>
    <t xml:space="preserve">impacts</t>
  </si>
  <si>
    <t xml:space="preserve">See differential diagnosis: Misalignment.</t>
  </si>
  <si>
    <t xml:space="preserve">DS-COMP-010-05</t>
  </si>
  <si>
    <t xml:space="preserve">What does Alignment read compared with OEM/site baseline?</t>
  </si>
  <si>
    <t xml:space="preserve">Alignment at Per OEM / site procedure (measurement point to be marked on equipment)</t>
  </si>
  <si>
    <t xml:space="preserve">DS-COMP-010-06</t>
  </si>
  <si>
    <t xml:space="preserve">spike</t>
  </si>
  <si>
    <t xml:space="preserve">DS-COMP-010-07</t>
  </si>
  <si>
    <t xml:space="preserve">LOTO, supervisor approval: replace coupling.</t>
  </si>
  <si>
    <t xml:space="preserve">Repair addresses Worn drive coupling</t>
  </si>
  <si>
    <t xml:space="preserve">Worn drive coupling</t>
  </si>
  <si>
    <t xml:space="preserve">DS-COMP-011-01</t>
  </si>
  <si>
    <t xml:space="preserve">Is this observed: Hiss?</t>
  </si>
  <si>
    <t xml:space="preserve">Hiss</t>
  </si>
  <si>
    <t xml:space="preserve">MPV leakage/sticking (supporting only)</t>
  </si>
  <si>
    <t xml:space="preserve">DS-COMP-011-02</t>
  </si>
  <si>
    <t xml:space="preserve">Is this observed: Pressure fall?</t>
  </si>
  <si>
    <t xml:space="preserve">Pressure fall</t>
  </si>
  <si>
    <t xml:space="preserve">Positive: quick</t>
  </si>
  <si>
    <t xml:space="preserve">quick. Negative does not rule out.</t>
  </si>
  <si>
    <t xml:space="preserve">DS-COMP-011-03</t>
  </si>
  <si>
    <t xml:space="preserve">Is this observed: MPV?</t>
  </si>
  <si>
    <t xml:space="preserve">MPV</t>
  </si>
  <si>
    <t xml:space="preserve">Positive: area</t>
  </si>
  <si>
    <t xml:space="preserve">area. Negative does not rule out.</t>
  </si>
  <si>
    <t xml:space="preserve">DS-COMP-011-04</t>
  </si>
  <si>
    <t xml:space="preserve">What does Separator pressure read compared with OEM/site baseline?</t>
  </si>
  <si>
    <t xml:space="preserve">Separator pressure at Per OEM / site procedure (measurement point to be marked on equipment)</t>
  </si>
  <si>
    <t xml:space="preserve">See differential diagnosis: Leaks elsewhere.</t>
  </si>
  <si>
    <t xml:space="preserve">DS-COMP-011-05</t>
  </si>
  <si>
    <t xml:space="preserve">What does Line pressure read compared with OEM/site baseline?</t>
  </si>
  <si>
    <t xml:space="preserve">Line pressure at Per OEM / site procedure (measurement point to be marked on equipment)</t>
  </si>
  <si>
    <t xml:space="preserve">drop</t>
  </si>
  <si>
    <t xml:space="preserve">DS-COMP-011-06</t>
  </si>
  <si>
    <t xml:space="preserve">What does Cycle read compared with OEM/site baseline?</t>
  </si>
  <si>
    <t xml:space="preserve">Cycle at Per OEM / site procedure (measurement point to be marked on equipment)</t>
  </si>
  <si>
    <t xml:space="preserve">long</t>
  </si>
  <si>
    <t xml:space="preserve">DS-COMP-011-07</t>
  </si>
  <si>
    <t xml:space="preserve">Repair addresses MPV leakage/sticking</t>
  </si>
  <si>
    <t xml:space="preserve">MPV leakage/sticking</t>
  </si>
  <si>
    <t xml:space="preserve">DS-COMP-012-01</t>
  </si>
  <si>
    <t xml:space="preserve">Positive: grinding</t>
  </si>
  <si>
    <t xml:space="preserve">grinding. Negative does not rule out.</t>
  </si>
  <si>
    <t xml:space="preserve">Air-end bearing failure (supporting only)</t>
  </si>
  <si>
    <t xml:space="preserve">DS-COMP-012-02</t>
  </si>
  <si>
    <t xml:space="preserve">DS-COMP-012-03</t>
  </si>
  <si>
    <t xml:space="preserve">Is this observed: Oil?</t>
  </si>
  <si>
    <t xml:space="preserve">Oil</t>
  </si>
  <si>
    <t xml:space="preserve">Positive: metal?</t>
  </si>
  <si>
    <t xml:space="preserve">metal?. Negative does not rule out.</t>
  </si>
  <si>
    <t xml:space="preserve">DS-COMP-012-04</t>
  </si>
  <si>
    <t xml:space="preserve">bearing freq</t>
  </si>
  <si>
    <t xml:space="preserve">See differential diagnosis: Loose mount.</t>
  </si>
  <si>
    <t xml:space="preserve">DS-COMP-012-05</t>
  </si>
  <si>
    <t xml:space="preserve">DS-COMP-012-06</t>
  </si>
  <si>
    <t xml:space="preserve">wear metals</t>
  </si>
  <si>
    <t xml:space="preserve">DS-COMP-012-07</t>
  </si>
  <si>
    <t xml:space="preserve">Repair addresses Air-end bearing failure</t>
  </si>
  <si>
    <t xml:space="preserve">Air-end bearing failure</t>
  </si>
  <si>
    <t xml:space="preserve">DS-COMP-013-01</t>
  </si>
  <si>
    <t xml:space="preserve">Is this observed: Filter ok?</t>
  </si>
  <si>
    <t xml:space="preserve">Filter ok</t>
  </si>
  <si>
    <t xml:space="preserve">Positive: excluded</t>
  </si>
  <si>
    <t xml:space="preserve">excluded. Negative does not rule out.</t>
  </si>
  <si>
    <t xml:space="preserve">Rotor wear/clearance increase (supporting only)</t>
  </si>
  <si>
    <t xml:space="preserve">DS-COMP-013-02</t>
  </si>
  <si>
    <t xml:space="preserve">DS-COMP-013-03</t>
  </si>
  <si>
    <t xml:space="preserve">Is this observed: Time?</t>
  </si>
  <si>
    <t xml:space="preserve">Time</t>
  </si>
  <si>
    <t xml:space="preserve">Positive: long fill</t>
  </si>
  <si>
    <t xml:space="preserve">long fill. Negative does not rule out.</t>
  </si>
  <si>
    <t xml:space="preserve">DS-COMP-013-04</t>
  </si>
  <si>
    <t xml:space="preserve">What does FAD test read compared with OEM/site baseline?</t>
  </si>
  <si>
    <t xml:space="preserve">FAD test at Per OEM / site procedure (measurement point to be marked on equipment)</t>
  </si>
  <si>
    <t xml:space="preserve">See differential diagnosis: Intake restriction.</t>
  </si>
  <si>
    <t xml:space="preserve">DS-COMP-013-05</t>
  </si>
  <si>
    <t xml:space="preserve">What does Temp read compared with OEM/site baseline?</t>
  </si>
  <si>
    <t xml:space="preserve">Temp at Per OEM / site procedure (measurement point to be marked on equipment)</t>
  </si>
  <si>
    <t xml:space="preserve">DS-COMP-013-06</t>
  </si>
  <si>
    <t xml:space="preserve">What does Power read compared with OEM/site baseline?</t>
  </si>
  <si>
    <t xml:space="preserve">Power at Per OEM / site procedure (measurement point to be marked on equipment)</t>
  </si>
  <si>
    <t xml:space="preserve">DS-COMP-013-07</t>
  </si>
  <si>
    <t xml:space="preserve">Repair addresses Rotor wear/clearance increase</t>
  </si>
  <si>
    <t xml:space="preserve">Rotor wear/clearance increase</t>
  </si>
  <si>
    <t xml:space="preserve">DS-COMP-014-01</t>
  </si>
  <si>
    <t xml:space="preserve">Is this observed: Cooler clean?</t>
  </si>
  <si>
    <t xml:space="preserve">Cooler clean</t>
  </si>
  <si>
    <t xml:space="preserve">Thermostatic valve sticking (supporting only)</t>
  </si>
  <si>
    <t xml:space="preserve">DS-COMP-014-02</t>
  </si>
  <si>
    <t xml:space="preserve">Is this observed: Temp?</t>
  </si>
  <si>
    <t xml:space="preserve">Temp</t>
  </si>
  <si>
    <t xml:space="preserve">Positive: erratic</t>
  </si>
  <si>
    <t xml:space="preserve">erratic. Negative does not rule out.</t>
  </si>
  <si>
    <t xml:space="preserve">DS-COMP-014-03</t>
  </si>
  <si>
    <t xml:space="preserve">Positive: level</t>
  </si>
  <si>
    <t xml:space="preserve">level. Negative does not rule out.</t>
  </si>
  <si>
    <t xml:space="preserve">DS-COMP-014-04</t>
  </si>
  <si>
    <t xml:space="preserve">What does Oil temp read compared with OEM/site baseline?</t>
  </si>
  <si>
    <t xml:space="preserve">Oil temp at Per OEM / site procedure (measurement point to be marked on equipment)</t>
  </si>
  <si>
    <t xml:space="preserve">erratic</t>
  </si>
  <si>
    <t xml:space="preserve">See differential diagnosis: Fouling: steady heat.</t>
  </si>
  <si>
    <t xml:space="preserve">DS-COMP-014-05</t>
  </si>
  <si>
    <t xml:space="preserve">odd</t>
  </si>
  <si>
    <t xml:space="preserve">DS-COMP-014-06</t>
  </si>
  <si>
    <t xml:space="preserve">ok</t>
  </si>
  <si>
    <t xml:space="preserve">DS-COMP-014-07</t>
  </si>
  <si>
    <t xml:space="preserve">Repair addresses Thermostatic valve sticking</t>
  </si>
  <si>
    <t xml:space="preserve">Thermostatic valve sticking</t>
  </si>
  <si>
    <t xml:space="preserve">DS-COMP-015-01</t>
  </si>
  <si>
    <t xml:space="preserve">Is this observed: Click?</t>
  </si>
  <si>
    <t xml:space="preserve">Click</t>
  </si>
  <si>
    <t xml:space="preserve">Solenoid valve failure (supporting only)</t>
  </si>
  <si>
    <t xml:space="preserve">DS-COMP-015-02</t>
  </si>
  <si>
    <t xml:space="preserve">DS-COMP-015-03</t>
  </si>
  <si>
    <t xml:space="preserve">Is this observed: Wiring?</t>
  </si>
  <si>
    <t xml:space="preserve">Wiring</t>
  </si>
  <si>
    <t xml:space="preserve">Positive: visible</t>
  </si>
  <si>
    <t xml:space="preserve">visible. Negative does not rule out.</t>
  </si>
  <si>
    <t xml:space="preserve">DS-COMP-015-04</t>
  </si>
  <si>
    <t xml:space="preserve">What does Coil voltage read compared with OEM/site baseline?</t>
  </si>
  <si>
    <t xml:space="preserve">Coil voltage at Per OEM / site procedure (measurement point to be marked on equipment)</t>
  </si>
  <si>
    <t xml:space="preserve">present?</t>
  </si>
  <si>
    <t xml:space="preserve">See differential diagnosis: Controller fault.</t>
  </si>
  <si>
    <t xml:space="preserve">DS-COMP-015-05</t>
  </si>
  <si>
    <t xml:space="preserve">What does Resistance (isolated) read compared with OEM/site baseline?</t>
  </si>
  <si>
    <t xml:space="preserve">Resistance (isolated) at Per OEM / site procedure (measurement point to be marked on equipment)</t>
  </si>
  <si>
    <t xml:space="preserve">Micro-ohmmeter / multimeter (isolated)</t>
  </si>
  <si>
    <t xml:space="preserve">open</t>
  </si>
  <si>
    <t xml:space="preserve">DS-COMP-015-06</t>
  </si>
  <si>
    <t xml:space="preserve">What does Control air read compared with OEM/site baseline?</t>
  </si>
  <si>
    <t xml:space="preserve">Control air at Per OEM / site procedure (measurement point to be marked on equipment)</t>
  </si>
  <si>
    <t xml:space="preserve">state</t>
  </si>
  <si>
    <t xml:space="preserve">DS-COMP-015-07</t>
  </si>
  <si>
    <t xml:space="preserve">Repair addresses Solenoid valve failure</t>
  </si>
  <si>
    <t xml:space="preserve">Solenoid valve failure</t>
  </si>
  <si>
    <t xml:space="preserve">DS-COMP-016-01</t>
  </si>
  <si>
    <t xml:space="preserve">Is this observed: Gauge vs display?</t>
  </si>
  <si>
    <t xml:space="preserve">Gauge vs display</t>
  </si>
  <si>
    <t xml:space="preserve">Positive: differ</t>
  </si>
  <si>
    <t xml:space="preserve">differ. Negative does not rule out.</t>
  </si>
  <si>
    <t xml:space="preserve">Pressure sensor drift/malfunction (supporting only)</t>
  </si>
  <si>
    <t xml:space="preserve">DS-COMP-016-02</t>
  </si>
  <si>
    <t xml:space="preserve">DS-COMP-016-03</t>
  </si>
  <si>
    <t xml:space="preserve">Is this observed: Alarms?</t>
  </si>
  <si>
    <t xml:space="preserve">Alarms</t>
  </si>
  <si>
    <t xml:space="preserve">Positive: log</t>
  </si>
  <si>
    <t xml:space="preserve">log. Negative does not rule out.</t>
  </si>
  <si>
    <t xml:space="preserve">DS-COMP-016-04</t>
  </si>
  <si>
    <t xml:space="preserve">What does Reference pressure read compared with OEM/site baseline?</t>
  </si>
  <si>
    <t xml:space="preserve">Reference pressure at Per OEM / site procedure (measurement point to be marked on equipment)</t>
  </si>
  <si>
    <t xml:space="preserve">Calibrated gauge</t>
  </si>
  <si>
    <t xml:space="preserve">compare</t>
  </si>
  <si>
    <t xml:space="preserve">See differential diagnosis: Real pressure fault: gauge agrees.</t>
  </si>
  <si>
    <t xml:space="preserve">DS-COMP-016-05</t>
  </si>
  <si>
    <t xml:space="preserve">What does Signal read compared with OEM/site baseline?</t>
  </si>
  <si>
    <t xml:space="preserve">Signal at Per OEM / site procedure (measurement point to be marked on equipment)</t>
  </si>
  <si>
    <t xml:space="preserve">DS-COMP-016-06</t>
  </si>
  <si>
    <t xml:space="preserve">What does Trend read compared with OEM/site baseline?</t>
  </si>
  <si>
    <t xml:space="preserve">Trend at Per OEM / site procedure (measurement point to be marked on equipment)</t>
  </si>
  <si>
    <t xml:space="preserve">DS-COMP-016-07</t>
  </si>
  <si>
    <t xml:space="preserve">Repair addresses Pressure sensor drift/malfunction</t>
  </si>
  <si>
    <t xml:space="preserve">Pressure sensor drift/malfunction</t>
  </si>
  <si>
    <t xml:space="preserve">Equipment Category</t>
  </si>
  <si>
    <t xml:space="preserve">Component / Maintainable Item</t>
  </si>
  <si>
    <t xml:space="preserve">Failure Mode</t>
  </si>
  <si>
    <t xml:space="preserve">Failure Mode Description</t>
  </si>
  <si>
    <t xml:space="preserve">Failure Cause</t>
  </si>
  <si>
    <t xml:space="preserve">Corrective Action</t>
  </si>
  <si>
    <t xml:space="preserve">Taxonomy Code / Reference</t>
  </si>
  <si>
    <t xml:space="preserve">Data Source / Reference</t>
  </si>
  <si>
    <t xml:space="preserve">Pump</t>
  </si>
  <si>
    <t xml:space="preserve">Progressive spalling and pitting of raceways and rolling elements under cyclic contact stress, increasing internal clearance and friction.</t>
  </si>
  <si>
    <t xml:space="preserve">Local: rising vibration, noise and bearing temperature. Plant: shaft deflection damages seal, risk of seizure and unplanned pump trip.</t>
  </si>
  <si>
    <t xml:space="preserve">Contaminated or degraded grease; over/under-lubrication; misalignment; moisture ingress; bearing operated beyond rated life.</t>
  </si>
  <si>
    <t xml:space="preserve">Replace bearings as a set; inspect shaft journals and housing fits; regrease with specified grade and quantity; re-align coupling; trend vibration after restart.</t>
  </si>
  <si>
    <t xml:space="preserve">PUMP.BRNG.ROLL | ISO FM: VIB</t>
  </si>
  <si>
    <t xml:space="preserve">ISO 14224:2016 Annex B; ISO 281 (rolling bearing life); Bloch &amp; Geitner, Machinery Failure Analysis and Troubleshooting</t>
  </si>
  <si>
    <t xml:space="preserve">Loss of lapped seal-face contact through wear, thermal cracking, dry running or elastomer hardening, allowing process fluid to escape along the shaft.</t>
  </si>
  <si>
    <t xml:space="preserve">Local: visible leakage at gland, wet baseplate. Plant: product loss, bearing contamination, safety and environmental exposure.</t>
  </si>
  <si>
    <t xml:space="preserve">Dry running; shaft deflection or excessive vibration; abrasive solids; elastomer incompatibility; incorrect installation or flush plan.</t>
  </si>
  <si>
    <t xml:space="preserve">Isolate and depressurise; replace seal faces and elastomers as a set; check shaft sleeve runout; verify flush/quench arrangement per seal plan.</t>
  </si>
  <si>
    <t xml:space="preserve">PUMP.SEAL.FACE | ISO FM: ELP</t>
  </si>
  <si>
    <t xml:space="preserve">ISO 21049 / API 682 (pump shaft sealing systems); API 610 / ISO 13709; Bloch &amp; Budris, Pump User's Handbook</t>
  </si>
  <si>
    <t xml:space="preserve">Vapour bubbles form when local pressure falls below fluid vapour pressure and collapse violently on impeller surfaces, causing pitting and pressure pulsation.</t>
  </si>
  <si>
    <t xml:space="preserve">Local: gravel-like noise, vibration, pitted vanes. Plant: head and flow drop, shortened pump life, unstable process supply.</t>
  </si>
  <si>
    <t xml:space="preserve">NPSH available below NPSH required plus margin; blocked suction; excessive suction lift; high fluid temperature; throttled suction valve.</t>
  </si>
  <si>
    <t xml:space="preserve">Clear suction restriction; fully open suction valve; reduce lift or fluid temperature; verify NPSHa margin; repair or replace pitted impeller.</t>
  </si>
  <si>
    <t xml:space="preserve">PUMP.HYDR.IMPL | ISO FM: NOI</t>
  </si>
  <si>
    <t xml:space="preserve">ANSI/HI 9.6.1 (NPSH margin guideline); Gülich, Centrifugal Pumps; Karassik et al., Pump Handbook</t>
  </si>
  <si>
    <t xml:space="preserve">Erosion or corrosion of vane tips and growth of wear-ring clearance, creating internal recirculation and reduced hydraulic efficiency.</t>
  </si>
  <si>
    <t xml:space="preserve">Local: lower discharge pressure and flow at same motor current. Plant: process under-supply and higher energy per unit flow.</t>
  </si>
  <si>
    <t xml:space="preserve">Abrasive particles in fluid; corrosion; extended run without clearance check; prolonged operation away from best efficiency point.</t>
  </si>
  <si>
    <t xml:space="preserve">Measure wear-ring clearance against OEM limits; replace rings; replace or re-trim impeller; review fluid filtration.</t>
  </si>
  <si>
    <t xml:space="preserve">PUMP.HYDR.WEAR | ISO FM: LOO</t>
  </si>
  <si>
    <t xml:space="preserve">API 610 / ISO 13709; Karassik et al., Pump Handbook; Kirloskar pump O&amp;M manual</t>
  </si>
  <si>
    <t xml:space="preserve">Angular or parallel offset between pump and driver shafts imposing cyclic loads on coupling elements, bearings and seals.</t>
  </si>
  <si>
    <t xml:space="preserve">Local: 1x/2x running-speed vibration, coupling element wear, warm bearings. Plant: premature bearing and seal failures, repeat maintenance.</t>
  </si>
  <si>
    <t xml:space="preserve">Poor alignment at installation; thermal growth; soft foot; pipe strain; worn inserts; loose foundation bolts.</t>
  </si>
  <si>
    <t xml:space="preserve">Laser-align to tolerance with hot-alignment allowance; correct soft foot and pipe strain; replace worn coupling elements; retorque bolts.</t>
  </si>
  <si>
    <t xml:space="preserve">PUMP.DRVT.CPLG | ISO FM: VIB</t>
  </si>
  <si>
    <t xml:space="preserve">API 610 / ISO 13709; ANSI/HI 9.6.4 (rotodynamic pump vibration); Bloch &amp; Geitner, Machinery Failure Analysis and Troubleshooting</t>
  </si>
  <si>
    <t xml:space="preserve">Debris accumulation restricts suction flow and lowers pump inlet pressure.</t>
  </si>
  <si>
    <t xml:space="preserve">Local: high suction vacuum, noise, onset of cavitation. Plant: flow reduction and risk of dry running.</t>
  </si>
  <si>
    <t xml:space="preserve">Debris or scale in sump or line; no cleaning schedule; fouled tank; construction debris after outage.</t>
  </si>
  <si>
    <t xml:space="preserve">Isolate and clean or replace strainer; flush suction line; fit differential-pressure indication across strainer.</t>
  </si>
  <si>
    <t xml:space="preserve">PUMP.SUCT.STRN | ISO FM: PLU</t>
  </si>
  <si>
    <t xml:space="preserve">ANSI/HI 9.6.1 (suction conditions); Kirloskar pump O&amp;M manual; ISO 14224:2016 Annex B</t>
  </si>
  <si>
    <t xml:space="preserve">Crack initiation at stress raisers (keyway, step, sleeve end) under rotating bending, then propagation to fracture.</t>
  </si>
  <si>
    <t xml:space="preserve">Local: sudden loss of drive, severe vibration beforehand, seal destruction. Plant: unplanned outage and long-lead repair.</t>
  </si>
  <si>
    <t xml:space="preserve">Chronic misalignment or unbalance; operation far from best efficiency point; corrosion fatigue; poor fillet radii or fretting at sleeve.</t>
  </si>
  <si>
    <t xml:space="preserve">Replace shaft; inspect keyways and shoulders by NDT; correct alignment and operating range; review shaft material and corrosion protection.</t>
  </si>
  <si>
    <t xml:space="preserve">PUMP.SHFT.SHAF | ISO FM: STD</t>
  </si>
  <si>
    <t xml:space="preserve">API 610 / ISO 13709 (shaft stiffness and deflection); Gülich, Centrifugal Pumps; Bloch &amp; Geitner, Machinery Failure Analysis and Troubleshooting</t>
  </si>
  <si>
    <t xml:space="preserve">Air drawn through leaking suction joints or seal interface collects at the impeller eye, breaking the liquid column (gas binding).</t>
  </si>
  <si>
    <t xml:space="preserve">Local: fluctuating or zero discharge pressure, noisy running. Plant: loss of delivery and dry-running damage to seal.</t>
  </si>
  <si>
    <t xml:space="preserve">Loose or damaged flange gaskets; low sump level or vortexing; suction valve stem leakage; incomplete priming or venting.</t>
  </si>
  <si>
    <t xml:space="preserve">Re-make suction joints; restore sump level; vent and prime per procedure; test suction line for air leaks before restart.</t>
  </si>
  <si>
    <t xml:space="preserve">PUMP.SUCT.PRIM | ISO FM: LOO</t>
  </si>
  <si>
    <t xml:space="preserve">Karassik et al., Pump Handbook; Kirloskar pump O&amp;M manual; ISO 14224:2016 Annex B</t>
  </si>
  <si>
    <t xml:space="preserve">Operation well below best efficiency flow produces flow separation and recirculation at impeller inlet and outlet, causing pressure pulsation and radial load.</t>
  </si>
  <si>
    <t xml:space="preserve">Local: noise, vibration, elevated temperature. Plant: reduced bearing/seal life and risk of damage if throttled for long periods.</t>
  </si>
  <si>
    <t xml:space="preserve">Excessive throttling; oversized pump; wrong operating point after process change; closed or blocked discharge.</t>
  </si>
  <si>
    <t xml:space="preserve">Restore operation within the allowable operating region; fit minimum-flow bypass; trim impeller or use variable speed drive; check discharge valve position.</t>
  </si>
  <si>
    <t xml:space="preserve">PUMP.HYDR.RECR | ISO FM: VIB</t>
  </si>
  <si>
    <t xml:space="preserve">ANSI/HI 9.6.3 (allowable operating region); Gülich, Centrifugal Pumps; API 610 / ISO 13709</t>
  </si>
  <si>
    <t xml:space="preserve">Worn lip seals or isolators let lubricant escape and let dust or moisture enter the bearing housing.</t>
  </si>
  <si>
    <t xml:space="preserve">Local: oil leakage at shaft, contaminated lubricant. Plant: accelerated bearing failure and repeat lubricant top-ups.</t>
  </si>
  <si>
    <t xml:space="preserve">Seal wear from shaft runout; damaged shaft surface; overfilled oil level; blocked breather causing pressure build-up.</t>
  </si>
  <si>
    <t xml:space="preserve">Replace isolators or lip seals; inspect shaft surface; correct oil level; clean breather; change contaminated lubricant.</t>
  </si>
  <si>
    <t xml:space="preserve">PUMP.BRNG.SEAL | ISO FM: ELU</t>
  </si>
  <si>
    <t xml:space="preserve">API 610 / ISO 13709 (bearing housing protection); Bloch &amp; Geitner, Machinery Failure Analysis and Troubleshooting; Kirloskar pump O&amp;M manual</t>
  </si>
  <si>
    <t xml:space="preserve">Motor</t>
  </si>
  <si>
    <t xml:space="preserve">Thermal, electrical or contamination-driven degradation of winding insulation leading to turn-to-turn, phase-to-phase or ground faults.</t>
  </si>
  <si>
    <t xml:space="preserve">Local: low insulation resistance, burning smell, current imbalance. Plant: earth-fault or overcurrent trip and process stoppage.</t>
  </si>
  <si>
    <t xml:space="preserve">Overvoltage or voltage spikes (including inverter dv/dt); chronic overheating; moisture and dust ingress; repeated starts.</t>
  </si>
  <si>
    <t xml:space="preserve">Test insulation resistance and polarisation index; rewind or replace motor; remove moisture source; review protection and starting duty.</t>
  </si>
  <si>
    <t xml:space="preserve">ELEC.MOT.STAT | ISO FM: BRD</t>
  </si>
  <si>
    <t xml:space="preserve">IEEE Std 43-2013 (insulation resistance testing); Bonnett &amp; Soukup, stator and rotor failures in squirrel-cage motors (IEEE Trans. Ind. Appl., 1992); IEC 60034-1</t>
  </si>
  <si>
    <t xml:space="preserve">Loss of effective lubricant film from degraded, insufficient or excess grease causes metal contact and heat rise.</t>
  </si>
  <si>
    <t xml:space="preserve">Local: temperature rise, noise, discoloured grease. Plant: seizure, rotor-stator rub and motor trip.</t>
  </si>
  <si>
    <t xml:space="preserve">Wrong grease type or quantity; over-greasing; lubricant beyond service life; high ambient temperature; excessive belt tension.</t>
  </si>
  <si>
    <t xml:space="preserve">Clean and regrease with correct grade and quantity; replace damaged bearing; check belt or coupling load; revise relubrication interval.</t>
  </si>
  <si>
    <t xml:space="preserve">ELEC.MOT.BRNG | ISO FM: OHE</t>
  </si>
  <si>
    <t xml:space="preserve">ISO 281; ABB Low Voltage Motors installation, operation, maintenance manual; Bonnett &amp; Soukup (IEEE Trans. Ind. Appl., 1992)</t>
  </si>
  <si>
    <t xml:space="preserve">Cracking or fracture of rotor bars or end rings from thermal and mechanical stress during starts and high-inertia loads.</t>
  </si>
  <si>
    <t xml:space="preserve">Local: speed fluctuation, pulsating current, current-spectrum sidebands, vibration. Plant: reduced torque and trip under load.</t>
  </si>
  <si>
    <t xml:space="preserve">Frequent direct-on-line starts; high-inertia load; casting defects; sustained overload.</t>
  </si>
  <si>
    <t xml:space="preserve">Confirm by motor current signature analysis; repair or replace rotor; review start frequency and loading.</t>
  </si>
  <si>
    <t xml:space="preserve">ELEC.MOT.ROTR | ISO FM: VIB</t>
  </si>
  <si>
    <t xml:space="preserve">Thomson &amp; Fenger, Current Signature Analysis to Detect Induction Motor Faults (IEEE Ind. Appl. Mag., 2001); Bonnett &amp; Soukup (IEEE Trans. Ind. Appl., 1992)</t>
  </si>
  <si>
    <t xml:space="preserve">Reduced convective cooling because of clogged fins or cowl, or a damaged fan, raising winding temperature.</t>
  </si>
  <si>
    <t xml:space="preserve">Local: casing and winding temperature rise. Plant: thermal overload trip and accelerated insulation ageing.</t>
  </si>
  <si>
    <t xml:space="preserve">Dust and lint build-up; damaged or loose fan; obstructed air inlet; high ambient temperature.</t>
  </si>
  <si>
    <t xml:space="preserve">Clean fins and cowl; replace damaged fan; clear obstructions; verify ambient temperature and ventilation.</t>
  </si>
  <si>
    <t xml:space="preserve">ELEC.MOT.COOL | ISO FM: OHE</t>
  </si>
  <si>
    <t xml:space="preserve">IEC 60034-6 (methods of cooling); IEC 60034-1; NEMA MG 1</t>
  </si>
  <si>
    <t xml:space="preserve">Loose or oxidised terminal joints add contact resistance, causing localised heating and unbalanced phase current.</t>
  </si>
  <si>
    <t xml:space="preserve">Local: hot spots, discoloured lugs, current imbalance. Plant: overload trip and potential winding damage.</t>
  </si>
  <si>
    <t xml:space="preserve">Vibration-loosened bolts; poor crimping; oxidation or corrosion; cable overloading.</t>
  </si>
  <si>
    <t xml:space="preserve">De-energise and lock out; clean and retorque connections; replace damaged lugs; verify balanced phase currents.</t>
  </si>
  <si>
    <t xml:space="preserve">ELEC.MOT.TERM | ISO FM: OHE</t>
  </si>
  <si>
    <t xml:space="preserve">NEMA MG 1; IEC 60034-1; ABB Low Voltage Motors installation, operation, maintenance manual</t>
  </si>
  <si>
    <t xml:space="preserve">Uneven or loose foot contact distorts the frame and alters bearing alignment, raising vibration.</t>
  </si>
  <si>
    <t xml:space="preserve">Local: high 1x/2x vibration with directional differences. Plant: accelerated bearing wear and coupling damage.</t>
  </si>
  <si>
    <t xml:space="preserve">Loose or corroded bolts; uneven baseplate; cracked grout; incorrect shimming.</t>
  </si>
  <si>
    <t xml:space="preserve">Perform soft-foot check; shim and retorque; repair baseplate or grout; re-align to driven equipment.</t>
  </si>
  <si>
    <t xml:space="preserve">MOT.MNTG.FEET | ISO FM: VIB</t>
  </si>
  <si>
    <t xml:space="preserve">ISO 20816-1 (vibration evaluation); Bloch &amp; Geitner, Machinery Failure Analysis and Troubleshooting; ABB Low Voltage Motors manual</t>
  </si>
  <si>
    <t xml:space="preserve">Loss of one supply phase leaves the motor on two phases, producing severe current imbalance and negative-sequence heating.</t>
  </si>
  <si>
    <t xml:space="preserve">Local: humming, no start or reduced torque, high current in remaining phases. Plant: overload trip or winding burnout.</t>
  </si>
  <si>
    <t xml:space="preserve">Blown fuse; failed contactor pole; open conductor or loose lug; upstream supply fault.</t>
  </si>
  <si>
    <t xml:space="preserve">Isolate and trace the open phase; replace fuse/contactor contact; check winding insulation after event; verify phase-loss protection works.</t>
  </si>
  <si>
    <t xml:space="preserve">ELEC.MOT.SUPP | ISO FM: PDE</t>
  </si>
  <si>
    <t xml:space="preserve">NEMA MG 1 (voltage unbalance); IEC 60034-1; Bonnett &amp; Soukup (IEEE Trans. Ind. Appl., 1992)</t>
  </si>
  <si>
    <t xml:space="preserve">High-frequency common-mode currents from variable-speed drives discharge through the bearing, etching raceways with fluting.</t>
  </si>
  <si>
    <t xml:space="preserve">Local: whining or growling noise, grey or fluted raceways. Plant: premature bearing failure on drive-fed motors.</t>
  </si>
  <si>
    <t xml:space="preserve">No shaft grounding or insulated bearing; poor drive cabling and earthing; high switching frequency.</t>
  </si>
  <si>
    <t xml:space="preserve">Fit insulated bearing or shaft-grounding ring; improve cable and earth bonding; replace bearing; review drive filtering.</t>
  </si>
  <si>
    <t xml:space="preserve">ELEC.MOT.BRDC | ISO FM: VIB</t>
  </si>
  <si>
    <t xml:space="preserve">IEC TS 60034-25 (converter-fed motors); ABB Low Voltage Motors manual; Bonnett &amp; Soukup (IEEE Trans. Ind. Appl., 1992)</t>
  </si>
  <si>
    <t xml:space="preserve">Uneven air gap from bearing wear, shaft bow or frame distortion creates unbalanced magnetic pull and can lead to rotor-stator contact.</t>
  </si>
  <si>
    <t xml:space="preserve">Local: vibration at twice line frequency, noise, core damage. Plant: motor failure and extended outage.</t>
  </si>
  <si>
    <t xml:space="preserve">Worn bearings; bent shaft; soft foot; assembly error after repair.</t>
  </si>
  <si>
    <t xml:space="preserve">Measure air gap; replace bearings; straighten or replace shaft; correct mounting; inspect core and windings for rub damage.</t>
  </si>
  <si>
    <t xml:space="preserve">ELEC.MOT.AGAP | ISO FM: VIB</t>
  </si>
  <si>
    <t xml:space="preserve">Thomson &amp; Fenger (IEEE Ind. Appl. Mag., 2001); Bonnett &amp; Soukup (IEEE Trans. Ind. Appl., 1992); ISO 20816-1</t>
  </si>
  <si>
    <t xml:space="preserve">Uneven mass distribution about the rotor axis produces a centrifugal force at running speed.</t>
  </si>
  <si>
    <t xml:space="preserve">Local: 1x running-speed vibration, bearing loading. Plant: reduced bearing life and coupling wear.</t>
  </si>
  <si>
    <t xml:space="preserve">Lost balance weights; fan damage; uneven dirt build-up; poor balance after repair.</t>
  </si>
  <si>
    <t xml:space="preserve">Balance rotor in situ or in shop to specified grade; clean rotor and fan; replace damaged parts; verify vibration after restart.</t>
  </si>
  <si>
    <t xml:space="preserve">ELEC.MOT.IMBL | ISO FM: VIB</t>
  </si>
  <si>
    <t xml:space="preserve">ISO 21940-11 (formerly ISO 1940-1, balance quality); ISO 20816-1; Bloch &amp; Geitner, Machinery Failure Analysis and Troubleshooting</t>
  </si>
  <si>
    <t xml:space="preserve">Compressor</t>
  </si>
  <si>
    <t xml:space="preserve">Gradual loss of rotor profile and sealing clearance from contamination or oil-film breakdown, increasing internal leakage.</t>
  </si>
  <si>
    <t xml:space="preserve">Local: lower free-air delivery, higher discharge temperature and specific energy. Plant: loss of pressure and capacity.</t>
  </si>
  <si>
    <t xml:space="preserve">Dirty intake air; degraded or wrong oil; low oil level; extended service interval; bearing wear allowing rotor contact.</t>
  </si>
  <si>
    <t xml:space="preserve">Check oil quality and filtration; measure free-air delivery; overhaul or replace air end; correct oil and filter intervals.</t>
  </si>
  <si>
    <t xml:space="preserve">COMP.AEND.ROTR | ISO FM: LOO</t>
  </si>
  <si>
    <t xml:space="preserve">API 619 (rotary positive displacement compressors); Atlas Copco Compressed Air Manual; ISO 14224:2016 Annex B</t>
  </si>
  <si>
    <t xml:space="preserve">Coalescing media loads with contaminants, raising differential pressure across the element.</t>
  </si>
  <si>
    <t xml:space="preserve">Local: high separator differential pressure and motor current. Plant: lower efficiency and oil carry-over if element fails.</t>
  </si>
  <si>
    <t xml:space="preserve">Service interval exceeded; varnished or degraded oil; poor intake filtration; high oil temperature.</t>
  </si>
  <si>
    <t xml:space="preserve">Replace separator element and oil filter; change oil if varnished; verify scavenge line and orifice are clear.</t>
  </si>
  <si>
    <t xml:space="preserve">COMP.OSEP.ELEM | ISO FM: PLU</t>
  </si>
  <si>
    <t xml:space="preserve">Atlas Copco GA 37 instruction book (GA 30-90 series); Atlas Copco Compressed Air Manual; ISO 8573-1 (compressed air purity)</t>
  </si>
  <si>
    <t xml:space="preserve">Dust loading of filter media restricts intake flow and raises intake vacuum.</t>
  </si>
  <si>
    <t xml:space="preserve">Local: reduced inlet pressure, lower capacity, higher temperature. Plant: loss of delivered air flow and pressure.</t>
  </si>
  <si>
    <t xml:space="preserve">Dusty environment; overdue replacement; damaged filter seal allowing bypass.</t>
  </si>
  <si>
    <t xml:space="preserve">Replace filter element; inspect housing seals; shorten replacement interval in dusty areas.</t>
  </si>
  <si>
    <t xml:space="preserve">COMP.INTK.FILT | ISO FM: LOO</t>
  </si>
  <si>
    <t xml:space="preserve">Atlas Copco Compressed Air Manual; Atlas Copco GA 37 instruction book; ISO 8573-1</t>
  </si>
  <si>
    <t xml:space="preserve">Fouled fins or tubes and poor ventilation reduce heat rejection from oil and compressed air.</t>
  </si>
  <si>
    <t xml:space="preserve">Local: high discharge air and oil temperature. Plant: high-temperature trip and accelerated oil degradation.</t>
  </si>
  <si>
    <t xml:space="preserve">Dirt on cooler core; blocked ventilation; high ambient temperature; failed cooling fan; low oil level.</t>
  </si>
  <si>
    <t xml:space="preserve">Clean cooler externally and internally; restore ventilation; check cooling fan; verify oil level and thermostatic valve.</t>
  </si>
  <si>
    <t xml:space="preserve">COMP.COOL.COLR | ISO FM: OHE</t>
  </si>
  <si>
    <t xml:space="preserve">Atlas Copco GA 37 instruction book; Atlas Copco Compressed Air Manual; ISO 14224:2016 Annex B</t>
  </si>
  <si>
    <t xml:space="preserve">Inlet valve piston or seal sticks or leaks, so capacity control cannot load or unload the compressor correctly.</t>
  </si>
  <si>
    <t xml:space="preserve">Local: compressor stays loaded at set pressure or fails to build pressure. Plant: pressure swings, wasted energy, relief valve lifting.</t>
  </si>
  <si>
    <t xml:space="preserve">Worn seals or piston; dirt or varnish in valve; faults in control-air line.</t>
  </si>
  <si>
    <t xml:space="preserve">Strip and clean valve; replace seal kit; check control-air tubing; verify load and unload setpoints.</t>
  </si>
  <si>
    <t xml:space="preserve">COMP.VALV.UNL | ISO FM: FTF</t>
  </si>
  <si>
    <t xml:space="preserve">Atlas Copco GA 37 instruction book; API 619; Atlas Copco Compressed Air Manual</t>
  </si>
  <si>
    <t xml:space="preserve">Valve fails to seal or open at set pressure, causing backflow or poor pressure retention in the separator vessel.</t>
  </si>
  <si>
    <t xml:space="preserve">Local: slow pressure build-up, oil carry-over, irregular blowdown. Plant: reduced delivery and unstable operation.</t>
  </si>
  <si>
    <t xml:space="preserve">Worn seat or spring; varnish deposits; debris in valve.</t>
  </si>
  <si>
    <t xml:space="preserve">Clean or replace valve kit; verify opening pressure; check oil quality and separator condition.</t>
  </si>
  <si>
    <t xml:space="preserve">COMP.VALV.MPV | ISO FM: INL</t>
  </si>
  <si>
    <t xml:space="preserve">Atlas Copco GA 37 instruction book; Atlas Copco Compressed Air Manual</t>
  </si>
  <si>
    <t xml:space="preserve">Rotor shaft bearings wear or spall from contaminated oil, overload or oil starvation, letting rotors move axially or radially.</t>
  </si>
  <si>
    <t xml:space="preserve">Local: noise, vibration, rising discharge temperature. Plant: rotor contact, air end seizure, major overhaul.</t>
  </si>
  <si>
    <t xml:space="preserve">Contaminated or degraded oil; blocked oil filter; low oil flow; overpressure operation; long service interval.</t>
  </si>
  <si>
    <t xml:space="preserve">Replace bearings and set rotor clearances (or exchange air end); change oil and filter; investigate oil supply and filtration.</t>
  </si>
  <si>
    <t xml:space="preserve">COMP.AEND.BRNG | ISO FM: VIB</t>
  </si>
  <si>
    <t xml:space="preserve">API 619; ISO 281; Atlas Copco Compressed Air Manual</t>
  </si>
  <si>
    <t xml:space="preserve">Thermostatic element sticks open or closed, so oil is over-cooled or not routed through the cooler.</t>
  </si>
  <si>
    <t xml:space="preserve">Local: high discharge temperature if stuck closed to cooler; condensation in oil if stuck open. Plant: high-temperature trip or oil degradation.</t>
  </si>
  <si>
    <t xml:space="preserve">Wax element ageing; deposits or varnish; contaminated oil.</t>
  </si>
  <si>
    <t xml:space="preserve">Test and replace thermostatic element; clean valve body; change oil if contaminated.</t>
  </si>
  <si>
    <t xml:space="preserve">COMP.OILS.THRM | ISO FM: PDE</t>
  </si>
  <si>
    <t xml:space="preserve">Coil burnout or sticking plunger prevents the control-air signal from switching the inlet valve.</t>
  </si>
  <si>
    <t xml:space="preserve">Local: compressor stays loaded or unloaded, frequent cycling or low pressure. Plant: unstable air supply and wasted energy.</t>
  </si>
  <si>
    <t xml:space="preserve">Coil failure; contaminated control air; worn plunger or seal; wiring fault.</t>
  </si>
  <si>
    <t xml:space="preserve">Check coil voltage and resistance; clean or replace valve; verify control-air quality; test load/unload sequence.</t>
  </si>
  <si>
    <t xml:space="preserve">COMP.VALV.SOL | ISO FM: FTF</t>
  </si>
  <si>
    <t xml:space="preserve">Drain valve or strainer blocked, so condensate cannot leave the separator or receiver.</t>
  </si>
  <si>
    <t xml:space="preserve">Local: water accumulation in receiver and lines. Plant: moisture in downstream air, corrosion and tool or process contamination.</t>
  </si>
  <si>
    <t xml:space="preserve">Debris or rust in drain; failed solenoid or float; no routine drain check.</t>
  </si>
  <si>
    <t xml:space="preserve">Clean or replace drain valve and strainer; test drain function; add routine drain checks.</t>
  </si>
  <si>
    <t xml:space="preserve">COMP.COND.DRN | ISO FM: PLU</t>
  </si>
  <si>
    <t xml:space="preserve">ISO 8573-1; Atlas Copco Compressed Air Manual; Atlas Copco GA 37 instruction book</t>
  </si>
  <si>
    <t xml:space="preserve">Proposed Subsystem</t>
  </si>
  <si>
    <t xml:space="preserve">Proposed Component</t>
  </si>
  <si>
    <t xml:space="preserve">Proposed Failure Mode</t>
  </si>
  <si>
    <t xml:space="preserve">Proposed Taxonomy Code</t>
  </si>
  <si>
    <t xml:space="preserve">Candidate ISO 14224 FM code (VERIFY)</t>
  </si>
  <si>
    <t xml:space="preserve">Vocabulary FM-ID on case</t>
  </si>
  <si>
    <t xml:space="preserve">Vocabulary label on case</t>
  </si>
  <si>
    <t xml:space="preserve">Case suspected cause (unconfirmed)</t>
  </si>
  <si>
    <t xml:space="preserve">Review note</t>
  </si>
  <si>
    <t xml:space="preserve">Impeller Flow Passage</t>
  </si>
  <si>
    <t xml:space="preserve">Impeller Passage Blockage (Foreign Material)</t>
  </si>
  <si>
    <t xml:space="preserve">PLU</t>
  </si>
  <si>
    <t xml:space="preserve">Proposed by drafting; M01/M02 to confirm names, code and ISO FM code against the standard. Not yet linked to the case; Troubleshooting_Cases unchanged.</t>
  </si>
  <si>
    <t xml:space="preserve">Pump-System Duty Point</t>
  </si>
  <si>
    <t xml:space="preserve">Operation Far Right of Duty Point (High-Flow Runout)</t>
  </si>
  <si>
    <t xml:space="preserve">HIO</t>
  </si>
  <si>
    <t xml:space="preserve">Pump Rotating Assembly / Motor Protection</t>
  </si>
  <si>
    <t xml:space="preserve">Mechanical Overload or Binding Causing Protective Trip</t>
  </si>
  <si>
    <t xml:space="preserve">UST</t>
  </si>
  <si>
    <t xml:space="preserve">Starter and Supply</t>
  </si>
  <si>
    <t xml:space="preserve">Thermal Overload Relay</t>
  </si>
  <si>
    <t xml:space="preserve">Overload Relay Trip Preventing Start</t>
  </si>
  <si>
    <t xml:space="preserve">FTS</t>
  </si>
  <si>
    <t xml:space="preserve">Protection</t>
  </si>
  <si>
    <t xml:space="preserve">Overload Protection</t>
  </si>
  <si>
    <t xml:space="preserve">Repeated Overload Trips from Excess Driven Load</t>
  </si>
  <si>
    <t xml:space="preserve">Drive and Speed Control</t>
  </si>
  <si>
    <t xml:space="preserve">VFD Speed Feedback</t>
  </si>
  <si>
    <t xml:space="preserve">Speed Feedback Signal Fault (Speed Fluctuation)</t>
  </si>
  <si>
    <t xml:space="preserve">ERO</t>
  </si>
  <si>
    <t xml:space="preserve">Motor-Load Coupling</t>
  </si>
  <si>
    <t xml:space="preserve">Shaft Misalignment</t>
  </si>
  <si>
    <t xml:space="preserve">VIB</t>
  </si>
  <si>
    <t xml:space="preserve">Pressure Control</t>
  </si>
  <si>
    <t xml:space="preserve">Pressure Switch / Control Differential</t>
  </si>
  <si>
    <t xml:space="preserve">Incorrect Control Differential Setting (Frequent Cycling)</t>
  </si>
  <si>
    <t xml:space="preserve">SER</t>
  </si>
  <si>
    <t xml:space="preserve">Mounting / Foundation Bolts</t>
  </si>
  <si>
    <t xml:space="preserve">Loose Mounting Bolts</t>
  </si>
  <si>
    <t xml:space="preserve">Drive Coupling Element</t>
  </si>
  <si>
    <t xml:space="preserve">Drive Coupling Element Wear</t>
  </si>
  <si>
    <t xml:space="preserve">NOI</t>
  </si>
  <si>
    <t xml:space="preserve">Pressure Sensor / Transmitter</t>
  </si>
  <si>
    <t xml:space="preserve">Pressure Sensor Drift or Malfunction</t>
  </si>
  <si>
    <t xml:space="preserve">AIR</t>
  </si>
  <si>
    <t xml:space="preserve">failure_mode_id</t>
  </si>
  <si>
    <t xml:space="preserve">preferred_label</t>
  </si>
  <si>
    <t xml:space="preserve">used_by_equipment_class_id</t>
  </si>
  <si>
    <t xml:space="preserve">note</t>
  </si>
  <si>
    <t xml:space="preserve">review_status</t>
  </si>
  <si>
    <t xml:space="preserve">Project-local ID and label from a synthetic pilot scenario; not an ISO 14224 code. Mechanism not inferred.</t>
  </si>
  <si>
    <t xml:space="preserve">pending_domain_review</t>
  </si>
  <si>
    <t xml:space="preserve">Subsystem</t>
  </si>
  <si>
    <t xml:space="preserve">Parameter</t>
  </si>
  <si>
    <t xml:space="preserve">Unit</t>
  </si>
  <si>
    <t xml:space="preserve">Instrument</t>
  </si>
  <si>
    <t xml:space="preserve">Measurement Location</t>
  </si>
  <si>
    <t xml:space="preserve">Reference Value / Range</t>
  </si>
  <si>
    <t xml:space="preserve">Applicability Conditions</t>
  </si>
  <si>
    <t xml:space="preserve">OEM / Standard Source</t>
  </si>
  <si>
    <t xml:space="preserve">Limitations</t>
  </si>
  <si>
    <t xml:space="preserve">Bearing housing vibration velocity/acceleration (spectrum)</t>
  </si>
  <si>
    <t xml:space="preserve">mm/s or g (per instrument/standard)</t>
  </si>
  <si>
    <t xml:space="preserve">DE housing radial &amp; axial</t>
  </si>
  <si>
    <t xml:space="preserve">Applies to CASE-PUMP-001 (synthetic); conditions: same load/speed as baseline</t>
  </si>
  <si>
    <t xml:space="preserve">No OEM/standard threshold located; see S03/S07 for method only</t>
  </si>
  <si>
    <t xml:space="preserve">D (method sources: A, not inspected)</t>
  </si>
  <si>
    <t xml:space="preserve">No numerical limit supplied: taking a limit from this sheet would be wrong; use OEM manual or approved site baseline.</t>
  </si>
  <si>
    <t xml:space="preserve">Bearing housing surface temperature</t>
  </si>
  <si>
    <t xml:space="preserve">°C</t>
  </si>
  <si>
    <t xml:space="preserve">DE housing</t>
  </si>
  <si>
    <t xml:space="preserve">Motor current (qualified person)</t>
  </si>
  <si>
    <t xml:space="preserve">A</t>
  </si>
  <si>
    <t xml:space="preserve">Starter output</t>
  </si>
  <si>
    <t xml:space="preserve">Seal chamber/gland housing surface temperature</t>
  </si>
  <si>
    <t xml:space="preserve">Seal housing</t>
  </si>
  <si>
    <t xml:space="preserve">Applies to CASE-PUMP-002 (synthetic); conditions: same load/speed as baseline</t>
  </si>
  <si>
    <t xml:space="preserve">Suction and discharge pressure</t>
  </si>
  <si>
    <t xml:space="preserve">bar or kPa (per gauge)</t>
  </si>
  <si>
    <t xml:space="preserve">Taps</t>
  </si>
  <si>
    <t xml:space="preserve">Seal flush pressure/flow</t>
  </si>
  <si>
    <t xml:space="preserve">Flush line</t>
  </si>
  <si>
    <t xml:space="preserve">Vibration spectrum (1x, 2x, axial)</t>
  </si>
  <si>
    <t xml:space="preserve">Bearing housings both machines</t>
  </si>
  <si>
    <t xml:space="preserve">Applies to CASE-PUMP-003 (synthetic); conditions: same load/speed as baseline</t>
  </si>
  <si>
    <t xml:space="preserve">Bearing housing temperature</t>
  </si>
  <si>
    <t xml:space="preserve">Both machines</t>
  </si>
  <si>
    <t xml:space="preserve">Laser/dial alignment (after approved isolation - see Tier 3)</t>
  </si>
  <si>
    <t xml:space="preserve">Per instrument</t>
  </si>
  <si>
    <t xml:space="preserve">Per OEM / site procedure (measurement point to be marked on equipment)</t>
  </si>
  <si>
    <t xml:space="preserve">Suction pressure/vacuum</t>
  </si>
  <si>
    <t xml:space="preserve">Suction tap</t>
  </si>
  <si>
    <t xml:space="preserve">Applies to CASE-PUMP-004 (synthetic); conditions: same load/speed as baseline</t>
  </si>
  <si>
    <t xml:space="preserve">Discharge pressure and flow</t>
  </si>
  <si>
    <t xml:space="preserve">Strainer differential pressure</t>
  </si>
  <si>
    <t xml:space="preserve">Suction pressure vs OEM NPSHr and process data</t>
  </si>
  <si>
    <t xml:space="preserve">Applies to CASE-PUMP-005 (synthetic); conditions: same load/speed as baseline</t>
  </si>
  <si>
    <t xml:space="preserve">Discharge pressure fluctuation</t>
  </si>
  <si>
    <t xml:space="preserve">Vibration/acoustic high-frequency broadband</t>
  </si>
  <si>
    <t xml:space="preserve">Fluid temperature</t>
  </si>
  <si>
    <t xml:space="preserve">Applies to CASE-PUMP-006 (synthetic); conditions: same load/speed as baseline</t>
  </si>
  <si>
    <t xml:space="preserve">Process fluid composition</t>
  </si>
  <si>
    <t xml:space="preserve">Seal-housing temperature</t>
  </si>
  <si>
    <t xml:space="preserve">Housing surface temperature</t>
  </si>
  <si>
    <t xml:space="preserve">Applies to CASE-PUMP-007 (synthetic); conditions: same load/speed as baseline</t>
  </si>
  <si>
    <t xml:space="preserve">Vibration spectrum</t>
  </si>
  <si>
    <t xml:space="preserve">Oil sample</t>
  </si>
  <si>
    <t xml:space="preserve">Discharge/suction pressure</t>
  </si>
  <si>
    <t xml:space="preserve">Applies to CASE-PUMP-008 (synthetic); conditions: same load/speed as baseline</t>
  </si>
  <si>
    <t xml:space="preserve">Motor current</t>
  </si>
  <si>
    <t xml:space="preserve">Rotation direction check (visual, approved)</t>
  </si>
  <si>
    <t xml:space="preserve">Vibration trend after each replacement</t>
  </si>
  <si>
    <t xml:space="preserve">Applies to CASE-PUMP-009 (synthetic); conditions: same load/speed as baseline</t>
  </si>
  <si>
    <t xml:space="preserve">Housing temperature</t>
  </si>
  <si>
    <t xml:space="preserve">Lubricant analysis</t>
  </si>
  <si>
    <t xml:space="preserve">Not in FMEA_Taxonomy</t>
  </si>
  <si>
    <t xml:space="preserve">Discharge pressure/flow</t>
  </si>
  <si>
    <t xml:space="preserve">Applies to CASE-PUMP-010 (synthetic); conditions: same load/speed as baseline</t>
  </si>
  <si>
    <t xml:space="preserve">Applies to CASE-PUMP-011 (synthetic); conditions: same load/speed as baseline</t>
  </si>
  <si>
    <t xml:space="preserve">Motor current and power</t>
  </si>
  <si>
    <t xml:space="preserve">rpm</t>
  </si>
  <si>
    <t xml:space="preserve">Running current per phase</t>
  </si>
  <si>
    <t xml:space="preserve">Applies to CASE-PUMP-012 (synthetic); conditions: same load/speed as baseline</t>
  </si>
  <si>
    <t xml:space="preserve">Supply voltage</t>
  </si>
  <si>
    <t xml:space="preserve">V</t>
  </si>
  <si>
    <t xml:space="preserve">Vibration/temperature</t>
  </si>
  <si>
    <t xml:space="preserve">Head and flow vs OEM curve</t>
  </si>
  <si>
    <t xml:space="preserve">m³/h (per meter)</t>
  </si>
  <si>
    <t xml:space="preserve">Applies to CASE-PUMP-013 (synthetic); conditions: same load/speed as baseline</t>
  </si>
  <si>
    <t xml:space="preserve">Motor power</t>
  </si>
  <si>
    <t xml:space="preserve">kW</t>
  </si>
  <si>
    <t xml:space="preserve">Applies to CASE-PUMP-014 (synthetic); conditions: same load/speed as baseline</t>
  </si>
  <si>
    <t xml:space="preserve">Alignment (post-isolation)</t>
  </si>
  <si>
    <t xml:space="preserve">Flow vs OEM minimum flow</t>
  </si>
  <si>
    <t xml:space="preserve">Applies to CASE-PUMP-015 (synthetic); conditions: same load/speed as baseline</t>
  </si>
  <si>
    <t xml:space="preserve">Vibration vs flow</t>
  </si>
  <si>
    <t xml:space="preserve">Temperature rise in casing</t>
  </si>
  <si>
    <t xml:space="preserve">Suction pressure</t>
  </si>
  <si>
    <t xml:space="preserve">Applies to CASE-PUMP-016 (synthetic); conditions: same load/speed as baseline</t>
  </si>
  <si>
    <t xml:space="preserve">Discharge pressure</t>
  </si>
  <si>
    <t xml:space="preserve">Applies to CASE-PUMP-017 (synthetic); conditions: same load/speed as baseline</t>
  </si>
  <si>
    <t xml:space="preserve">Pressure</t>
  </si>
  <si>
    <t xml:space="preserve">Vibration history</t>
  </si>
  <si>
    <t xml:space="preserve">Insulation resistance and polarization index</t>
  </si>
  <si>
    <t xml:space="preserve">MΩ</t>
  </si>
  <si>
    <t xml:space="preserve">Applies to CASE-MOT-001 (synthetic); conditions: same load/speed as baseline</t>
  </si>
  <si>
    <t xml:space="preserve">Winding resistance by phase</t>
  </si>
  <si>
    <t xml:space="preserve">Ω / mΩ</t>
  </si>
  <si>
    <t xml:space="preserve">Bearing temperature</t>
  </si>
  <si>
    <t xml:space="preserve">Applies to CASE-MOT-002 (synthetic); conditions: same load/speed as baseline</t>
  </si>
  <si>
    <t xml:space="preserve">Winding/frame temperature</t>
  </si>
  <si>
    <t xml:space="preserve">Applies to CASE-MOT-003 (synthetic); conditions: same load/speed as baseline</t>
  </si>
  <si>
    <t xml:space="preserve">Phase currents</t>
  </si>
  <si>
    <t xml:space="preserve">Ambient temperature</t>
  </si>
  <si>
    <t xml:space="preserve">Applies to CASE-MOT-004 (synthetic); conditions: same load/speed as baseline</t>
  </si>
  <si>
    <t xml:space="preserve">Running current</t>
  </si>
  <si>
    <t xml:space="preserve">Control voltage</t>
  </si>
  <si>
    <t xml:space="preserve">Vibration 1x radial</t>
  </si>
  <si>
    <t xml:space="preserve">Applies to CASE-MOT-005 (synthetic); conditions: same load/speed as baseline</t>
  </si>
  <si>
    <t xml:space="preserve">Phase</t>
  </si>
  <si>
    <t xml:space="preserve">Run uncoupled test (approved)</t>
  </si>
  <si>
    <t xml:space="preserve">Vibration/acoustic</t>
  </si>
  <si>
    <t xml:space="preserve">Applies to CASE-MOT-006 (synthetic); conditions: same load/speed as baseline</t>
  </si>
  <si>
    <t xml:space="preserve">Current</t>
  </si>
  <si>
    <t xml:space="preserve">Current vs nameplate</t>
  </si>
  <si>
    <t xml:space="preserve">Applies to CASE-MOT-007 (synthetic); conditions: same load/speed as baseline</t>
  </si>
  <si>
    <t xml:space="preserve">Voltage</t>
  </si>
  <si>
    <t xml:space="preserve">Driven equipment condition</t>
  </si>
  <si>
    <t xml:space="preserve">Phase voltages</t>
  </si>
  <si>
    <t xml:space="preserve">Applies to CASE-MOT-008 (synthetic); conditions: same load/speed as baseline</t>
  </si>
  <si>
    <t xml:space="preserve">Continuity (isolated)</t>
  </si>
  <si>
    <t xml:space="preserve">IR/PI</t>
  </si>
  <si>
    <t xml:space="preserve">Applies to CASE-MOT-009 (synthetic); conditions: same load/speed as baseline</t>
  </si>
  <si>
    <t xml:space="preserve">Temperature compensation</t>
  </si>
  <si>
    <t xml:space="preserve">Cable test</t>
  </si>
  <si>
    <t xml:space="preserve">Actual speed</t>
  </si>
  <si>
    <t xml:space="preserve">Applies to CASE-MOT-010 (synthetic); conditions: same load/speed as baseline</t>
  </si>
  <si>
    <t xml:space="preserve">Feedback signal</t>
  </si>
  <si>
    <t xml:space="preserve">Drive parameters</t>
  </si>
  <si>
    <t xml:space="preserve">Applies to CASE-MOT-011 (synthetic); conditions: same load/speed as baseline</t>
  </si>
  <si>
    <t xml:space="preserve">Thermography (safe)</t>
  </si>
  <si>
    <t xml:space="preserve">Applies to CASE-MOT-012 (synthetic); conditions: same load/speed as baseline</t>
  </si>
  <si>
    <t xml:space="preserve">Airflow check</t>
  </si>
  <si>
    <t xml:space="preserve">Applies to CASE-MOT-013 (synthetic); conditions: same load/speed as baseline</t>
  </si>
  <si>
    <t xml:space="preserve">Foot gap measurement (isolated)</t>
  </si>
  <si>
    <t xml:space="preserve">Applies to CASE-MOT-014 (synthetic); conditions: same load/speed as baseline</t>
  </si>
  <si>
    <t xml:space="preserve">Current spectrum (qualified)</t>
  </si>
  <si>
    <t xml:space="preserve">Current spectrum (MCSA)</t>
  </si>
  <si>
    <t xml:space="preserve">Applies to CASE-MOT-015 (synthetic); conditions: same load/speed as baseline</t>
  </si>
  <si>
    <t xml:space="preserve">Shaft voltage</t>
  </si>
  <si>
    <t xml:space="preserve">Applies to CASE-MOT-016 (synthetic); conditions: same load/speed as baseline</t>
  </si>
  <si>
    <t xml:space="preserve">Ground path</t>
  </si>
  <si>
    <t xml:space="preserve">Vibration 1x/2x</t>
  </si>
  <si>
    <t xml:space="preserve">Applies to CASE-MOT-017 (synthetic); conditions: same load/speed as baseline</t>
  </si>
  <si>
    <t xml:space="preserve">Alignment (isolated)</t>
  </si>
  <si>
    <t xml:space="preserve">Separator ΔP</t>
  </si>
  <si>
    <t xml:space="preserve">Applies to CASE-COMP-001 (synthetic); conditions: same load/speed as baseline</t>
  </si>
  <si>
    <t xml:space="preserve">Discharge temperature</t>
  </si>
  <si>
    <t xml:space="preserve">Applies to CASE-COMP-002 (synthetic); conditions: same load/speed as baseline</t>
  </si>
  <si>
    <t xml:space="preserve">Ambient</t>
  </si>
  <si>
    <t xml:space="preserve">Cooler ΔT</t>
  </si>
  <si>
    <t xml:space="preserve">Cooler in/out temperature</t>
  </si>
  <si>
    <t xml:space="preserve">Applies to CASE-COMP-003 (synthetic); conditions: same load/speed as baseline</t>
  </si>
  <si>
    <t xml:space="preserve">Oil analysis</t>
  </si>
  <si>
    <t xml:space="preserve">Discharge temp</t>
  </si>
  <si>
    <t xml:space="preserve">Intake vacuum</t>
  </si>
  <si>
    <t xml:space="preserve">Applies to CASE-COMP-004 (synthetic); conditions: same load/speed as baseline</t>
  </si>
  <si>
    <t xml:space="preserve">Pressure build time</t>
  </si>
  <si>
    <t xml:space="preserve">Oil consumption</t>
  </si>
  <si>
    <t xml:space="preserve">Applies to CASE-COMP-005 (synthetic); conditions: same load/speed as baseline</t>
  </si>
  <si>
    <t xml:space="preserve">Downstream air quality per ISO 8573-1</t>
  </si>
  <si>
    <t xml:space="preserve">Pressure band</t>
  </si>
  <si>
    <t xml:space="preserve">Applies to CASE-COMP-006 (synthetic); conditions: same load/speed as baseline</t>
  </si>
  <si>
    <t xml:space="preserve">Cycle count</t>
  </si>
  <si>
    <t xml:space="preserve">Applies to CASE-COMP-007 (synthetic); conditions: same load/speed as baseline</t>
  </si>
  <si>
    <t xml:space="preserve">Mount gap</t>
  </si>
  <si>
    <t xml:space="preserve">Applies to CASE-COMP-008 (synthetic); conditions: same load/speed as baseline</t>
  </si>
  <si>
    <t xml:space="preserve">Control pressure</t>
  </si>
  <si>
    <t xml:space="preserve">Dewpoint</t>
  </si>
  <si>
    <t xml:space="preserve">Applies to CASE-COMP-009 (synthetic); conditions: same load/speed as baseline</t>
  </si>
  <si>
    <t xml:space="preserve">Drain cycle</t>
  </si>
  <si>
    <t xml:space="preserve">Alignment</t>
  </si>
  <si>
    <t xml:space="preserve">Applies to CASE-COMP-010 (synthetic); conditions: same load/speed as baseline</t>
  </si>
  <si>
    <t xml:space="preserve">Separator pressure</t>
  </si>
  <si>
    <t xml:space="preserve">Applies to CASE-COMP-011 (synthetic); conditions: same load/speed as baseline</t>
  </si>
  <si>
    <t xml:space="preserve">Line pressure</t>
  </si>
  <si>
    <t xml:space="preserve">Cycle</t>
  </si>
  <si>
    <t xml:space="preserve">Applies to CASE-COMP-012 (synthetic); conditions: same load/speed as baseline</t>
  </si>
  <si>
    <t xml:space="preserve">FAD test</t>
  </si>
  <si>
    <t xml:space="preserve">Applies to CASE-COMP-013 (synthetic); conditions: same load/speed as baseline</t>
  </si>
  <si>
    <t xml:space="preserve">Power</t>
  </si>
  <si>
    <t xml:space="preserve">Oil temp</t>
  </si>
  <si>
    <t xml:space="preserve">Applies to CASE-COMP-014 (synthetic); conditions: same load/speed as baseline</t>
  </si>
  <si>
    <t xml:space="preserve">Coil voltage</t>
  </si>
  <si>
    <t xml:space="preserve">Applies to CASE-COMP-015 (synthetic); conditions: same load/speed as baseline</t>
  </si>
  <si>
    <t xml:space="preserve">Resistance (isolated)</t>
  </si>
  <si>
    <t xml:space="preserve">Control air</t>
  </si>
  <si>
    <t xml:space="preserve">Reference pressure</t>
  </si>
  <si>
    <t xml:space="preserve">Applies to CASE-COMP-016 (synthetic); conditions: same load/speed as baseline</t>
  </si>
  <si>
    <t xml:space="preserve">Signal</t>
  </si>
  <si>
    <t xml:space="preserve">Trend</t>
  </si>
  <si>
    <t xml:space="preserve">Equipment Description</t>
  </si>
  <si>
    <t xml:space="preserve">Subsystem ID</t>
  </si>
  <si>
    <t xml:space="preserve">Model Information</t>
  </si>
  <si>
    <t xml:space="preserve">Rotodynamic machine that adds energy to a liquid via an impeller.</t>
  </si>
  <si>
    <t xml:space="preserve">Not defined in taxonomy (no subsystem ID)</t>
  </si>
  <si>
    <t xml:space="preserve">No real model documented; seed models are illustrative only</t>
  </si>
  <si>
    <t xml:space="preserve">AC machine converting electrical to mechanical energy via rotating magnetic field.</t>
  </si>
  <si>
    <t xml:space="preserve">Positive-displacement compressor using meshing screw rotors, usually oil-flooded.</t>
  </si>
  <si>
    <t xml:space="preserve">Spare Part</t>
  </si>
  <si>
    <t xml:space="preserve">Function</t>
  </si>
  <si>
    <t xml:space="preserve">Associated Equipment</t>
  </si>
  <si>
    <t xml:space="preserve">Associated Failure Modes</t>
  </si>
  <si>
    <t xml:space="preserve">Associated Cases</t>
  </si>
  <si>
    <t xml:space="preserve">Part Number / Compatibility</t>
  </si>
  <si>
    <t xml:space="preserve">Source</t>
  </si>
  <si>
    <t xml:space="preserve">bearing housing lip seals/isolators</t>
  </si>
  <si>
    <t xml:space="preserve">Supports shaft and carries radial/axial load</t>
  </si>
  <si>
    <t xml:space="preserve">Not assigned - part number and compatibility must come from OEM parts list</t>
  </si>
  <si>
    <t xml:space="preserve">S14 (no OEM parts catalogue consulted)</t>
  </si>
  <si>
    <t xml:space="preserve">Bearing set</t>
  </si>
  <si>
    <t xml:space="preserve">Bearing Housing Seal Failure; Bearing Wear</t>
  </si>
  <si>
    <t xml:space="preserve">CASE-PUMP-007; CASE-PUMP-009</t>
  </si>
  <si>
    <t xml:space="preserve">Bearing/seal as required</t>
  </si>
  <si>
    <t xml:space="preserve">Low-Flow Recirculation; Shaft Fatigue Fracture</t>
  </si>
  <si>
    <t xml:space="preserve">CASE-PUMP-015; CASE-PUMP-017</t>
  </si>
  <si>
    <t xml:space="preserve">Coupling element</t>
  </si>
  <si>
    <t xml:space="preserve">Transmits torque between machines</t>
  </si>
  <si>
    <t xml:space="preserve">coupling element if worn</t>
  </si>
  <si>
    <t xml:space="preserve">elastomers/O-rings</t>
  </si>
  <si>
    <t xml:space="preserve">Function per OEM documentation</t>
  </si>
  <si>
    <t xml:space="preserve">Foot valve</t>
  </si>
  <si>
    <t xml:space="preserve">Controls flow/pressure</t>
  </si>
  <si>
    <t xml:space="preserve">foundation bolt set</t>
  </si>
  <si>
    <t xml:space="preserve">gasket</t>
  </si>
  <si>
    <t xml:space="preserve">gaskets</t>
  </si>
  <si>
    <t xml:space="preserve">Air Ingress / Loss of Prime; Bearing Wear; Cavitation; GAP - no FMEA_Taxonomy entry; Impeller / Wear Ring Wear; Seal Face Leakage</t>
  </si>
  <si>
    <t xml:space="preserve">CASE-PUMP-002; CASE-PUMP-005; CASE-PUMP-007; CASE-PUMP-008; CASE-PUMP-010; CASE-PUMP-013; CASE-PUMP-016</t>
  </si>
  <si>
    <t xml:space="preserve">gaskets as required</t>
  </si>
  <si>
    <t xml:space="preserve">gland packing/seal</t>
  </si>
  <si>
    <t xml:space="preserve">Prevents leakage / excludes contaminants</t>
  </si>
  <si>
    <t xml:space="preserve">hub bolts</t>
  </si>
  <si>
    <t xml:space="preserve">Transfers energy to the liquid</t>
  </si>
  <si>
    <t xml:space="preserve">Cavitation; Impeller / Wear Ring Wear</t>
  </si>
  <si>
    <t xml:space="preserve">CASE-PUMP-005; CASE-PUMP-013</t>
  </si>
  <si>
    <t xml:space="preserve">Impeller (if wrong trim)</t>
  </si>
  <si>
    <t xml:space="preserve">Impeller if damaged</t>
  </si>
  <si>
    <t xml:space="preserve">impeller key</t>
  </si>
  <si>
    <t xml:space="preserve">keys</t>
  </si>
  <si>
    <t xml:space="preserve">lip seals/isolators</t>
  </si>
  <si>
    <t xml:space="preserve">lubricant per OEM</t>
  </si>
  <si>
    <t xml:space="preserve">Mechanical seal cartridge or face set</t>
  </si>
  <si>
    <t xml:space="preserve">O-rings/elastomers in compatible material</t>
  </si>
  <si>
    <t xml:space="preserve">oil</t>
  </si>
  <si>
    <t xml:space="preserve">Lubrication/cooling</t>
  </si>
  <si>
    <t xml:space="preserve">oiler/level glass</t>
  </si>
  <si>
    <t xml:space="preserve">priming accessories</t>
  </si>
  <si>
    <t xml:space="preserve">Rolling element bearing set</t>
  </si>
  <si>
    <t xml:space="preserve">Seal</t>
  </si>
  <si>
    <t xml:space="preserve">seal cartridge if damaged</t>
  </si>
  <si>
    <t xml:space="preserve">Shaft</t>
  </si>
  <si>
    <t xml:space="preserve">Transmits torque</t>
  </si>
  <si>
    <t xml:space="preserve">shaft if damaged</t>
  </si>
  <si>
    <t xml:space="preserve">shaft sleeve</t>
  </si>
  <si>
    <t xml:space="preserve">shaft sleeve if scored</t>
  </si>
  <si>
    <t xml:space="preserve">Shims</t>
  </si>
  <si>
    <t xml:space="preserve">Alignment adjustment</t>
  </si>
  <si>
    <t xml:space="preserve">Strainer basket/element</t>
  </si>
  <si>
    <t xml:space="preserve">Removes debris from suction flow</t>
  </si>
  <si>
    <t xml:space="preserve">wear rings</t>
  </si>
  <si>
    <t xml:space="preserve">Limits internal leakage across impeller</t>
  </si>
  <si>
    <t xml:space="preserve">Cavitation; GAP - no FMEA_Taxonomy entry; Impeller / Wear Ring Wear</t>
  </si>
  <si>
    <t xml:space="preserve">CASE-PUMP-005; CASE-PUMP-010; CASE-PUMP-011; CASE-PUMP-013</t>
  </si>
  <si>
    <t xml:space="preserve">Airend</t>
  </si>
  <si>
    <t xml:space="preserve">Bearings</t>
  </si>
  <si>
    <t xml:space="preserve">Cooler</t>
  </si>
  <si>
    <t xml:space="preserve">Rejects heat from oil/air</t>
  </si>
  <si>
    <t xml:space="preserve">Drain valve</t>
  </si>
  <si>
    <t xml:space="preserve">filter</t>
  </si>
  <si>
    <t xml:space="preserve">Removes contaminants from air/oil</t>
  </si>
  <si>
    <t xml:space="preserve">Intake filter</t>
  </si>
  <si>
    <t xml:space="preserve">MPV kit</t>
  </si>
  <si>
    <t xml:space="preserve">None typically</t>
  </si>
  <si>
    <t xml:space="preserve">Cooler Fouling; Separator Element Clogging</t>
  </si>
  <si>
    <t xml:space="preserve">CASE-COMP-001; CASE-COMP-003; CASE-COMP-005</t>
  </si>
  <si>
    <t xml:space="preserve">pads</t>
  </si>
  <si>
    <t xml:space="preserve">Pressure transmitter</t>
  </si>
  <si>
    <t xml:space="preserve">Measures pressure for control</t>
  </si>
  <si>
    <t xml:space="preserve">seals</t>
  </si>
  <si>
    <t xml:space="preserve">Separator element</t>
  </si>
  <si>
    <t xml:space="preserve">Separates oil from compressed air</t>
  </si>
  <si>
    <t xml:space="preserve">CASE-COMP-001; CASE-COMP-005</t>
  </si>
  <si>
    <t xml:space="preserve">Solenoid coil/valve</t>
  </si>
  <si>
    <t xml:space="preserve">Thermostatic element</t>
  </si>
  <si>
    <t xml:space="preserve">Valve kit</t>
  </si>
  <si>
    <t xml:space="preserve">As required</t>
  </si>
  <si>
    <t xml:space="preserve">Balance weights</t>
  </si>
  <si>
    <t xml:space="preserve">Bearing</t>
  </si>
  <si>
    <t xml:space="preserve">Air-Gap Eccentricity / Rotor-Stator Rub; Bearing Overheating (Lubrication Failure); Rotor Imbalance</t>
  </si>
  <si>
    <t xml:space="preserve">CASE-MOT-002; CASE-MOT-005; CASE-MOT-014</t>
  </si>
  <si>
    <t xml:space="preserve">bolts</t>
  </si>
  <si>
    <t xml:space="preserve">cable</t>
  </si>
  <si>
    <t xml:space="preserve">contactor</t>
  </si>
  <si>
    <t xml:space="preserve">cowl</t>
  </si>
  <si>
    <t xml:space="preserve">Encoder</t>
  </si>
  <si>
    <t xml:space="preserve">Speed/position feedback</t>
  </si>
  <si>
    <t xml:space="preserve">Provides cooling airflow</t>
  </si>
  <si>
    <t xml:space="preserve">Fan/cowl if damaged</t>
  </si>
  <si>
    <t xml:space="preserve">Fuse</t>
  </si>
  <si>
    <t xml:space="preserve">grease</t>
  </si>
  <si>
    <t xml:space="preserve">Bearing lubrication</t>
  </si>
  <si>
    <t xml:space="preserve">grease per OEM</t>
  </si>
  <si>
    <t xml:space="preserve">grounding ring</t>
  </si>
  <si>
    <t xml:space="preserve">hardware</t>
  </si>
  <si>
    <t xml:space="preserve">heater</t>
  </si>
  <si>
    <t xml:space="preserve">Insulated bearing</t>
  </si>
  <si>
    <t xml:space="preserve">Lugs</t>
  </si>
  <si>
    <t xml:space="preserve">Electrical termination</t>
  </si>
  <si>
    <t xml:space="preserve">Overload relay if faulty</t>
  </si>
  <si>
    <t xml:space="preserve">Rewind kit/motor</t>
  </si>
  <si>
    <t xml:space="preserve">Rotor</t>
  </si>
  <si>
    <t xml:space="preserve">Rotating member of machine</t>
  </si>
  <si>
    <t xml:space="preserve">GAP - no FMEA_Taxonomy entry; Soft Foot / Mechanical Looseness</t>
  </si>
  <si>
    <t xml:space="preserve">CASE-MOT-013; CASE-MOT-017</t>
  </si>
  <si>
    <t xml:space="preserve">terminal gaskets</t>
  </si>
  <si>
    <t xml:space="preserve">Hazard</t>
  </si>
  <si>
    <t xml:space="preserve">Requirement</t>
  </si>
  <si>
    <t xml:space="preserve">General vs Site-specific</t>
  </si>
  <si>
    <t xml:space="preserve">Source IDs</t>
  </si>
  <si>
    <t xml:space="preserve">All</t>
  </si>
  <si>
    <t xml:space="preserve">Unexpected start-up</t>
  </si>
  <si>
    <t xml:space="preserve">Isolate, lock out and tag out all energy sources before any Tier 3 work; verify zero energy; supervisor approval first</t>
  </si>
  <si>
    <t xml:space="preserve">General guidance; site LOTO procedure governs</t>
  </si>
  <si>
    <t xml:space="preserve">S10</t>
  </si>
  <si>
    <t xml:space="preserve">Rotating machinery</t>
  </si>
  <si>
    <t xml:space="preserve">Keep guards fitted; no contact with rotating shafts/couplings; no loose clothing; do not run with guard removed</t>
  </si>
  <si>
    <t xml:space="preserve">General guidance</t>
  </si>
  <si>
    <t xml:space="preserve">S14</t>
  </si>
  <si>
    <t xml:space="preserve">Stored mechanical energy</t>
  </si>
  <si>
    <t xml:space="preserve">Release spring/pressure energy and block rotors per OEM before work</t>
  </si>
  <si>
    <t xml:space="preserve">Hot surfaces</t>
  </si>
  <si>
    <t xml:space="preserve">Use non-contact thermometer from safe position; allow cooling before work</t>
  </si>
  <si>
    <t xml:space="preserve">Chemical / lubricant exposure</t>
  </si>
  <si>
    <t xml:space="preserve">Use PPE per safety data sheet; manage spills; no skin contact with oils/chemicals</t>
  </si>
  <si>
    <t xml:space="preserve">Pressurised/hazardous liquid</t>
  </si>
  <si>
    <t xml:space="preserve">Depressurise and drain, check fluid SDS before opening seals/casing</t>
  </si>
  <si>
    <t xml:space="preserve">Site-specific procedure required</t>
  </si>
  <si>
    <t xml:space="preserve">S06; S14</t>
  </si>
  <si>
    <t xml:space="preserve">Dry running</t>
  </si>
  <si>
    <t xml:space="preserve">Do not start without priming/venting; avoid dry operation</t>
  </si>
  <si>
    <t xml:space="preserve">Electrical energy</t>
  </si>
  <si>
    <t xml:space="preserve">Electrical measurements only by qualified person under approved procedure; no opening of terminal box while energised; confirm isolation with tested instrument</t>
  </si>
  <si>
    <t xml:space="preserve">Site electrical safety rules; NFPA 70E / local rules inform</t>
  </si>
  <si>
    <t xml:space="preserve">S11</t>
  </si>
  <si>
    <t xml:space="preserve">Capacitive / residual charge</t>
  </si>
  <si>
    <t xml:space="preserve">Discharge and ground windings after insulation test per instrument and OEM instructions</t>
  </si>
  <si>
    <t xml:space="preserve">S07</t>
  </si>
  <si>
    <t xml:space="preserve">Insulation testing</t>
  </si>
  <si>
    <t xml:space="preserve">Test only de-energised and isolated; disconnect drive/electronics per OEM</t>
  </si>
  <si>
    <t xml:space="preserve">Pressurised air</t>
  </si>
  <si>
    <t xml:space="preserve">Confirm full depressurisation before opening; never open pressurised vessel/separator</t>
  </si>
  <si>
    <t xml:space="preserve">Hot oil</t>
  </si>
  <si>
    <t xml:space="preserve">Allow cool-down; hot oil/air can scald; relieve pressure before oil work</t>
  </si>
  <si>
    <t xml:space="preserve">Tier policy</t>
  </si>
  <si>
    <t xml:space="preserve">Tier 1 observation only; Tier 2 trained personnel with suitable instruments; Tier 3 only with supervisor approval + LOTO; ambiguous steps go to higher-risk tier</t>
  </si>
  <si>
    <t xml:space="preserve">Project rule</t>
  </si>
  <si>
    <t xml:space="preserve">AI/retrieval caution</t>
  </si>
  <si>
    <t xml:space="preserve">Similarity scores or retrieved cases never authorise repairs</t>
  </si>
  <si>
    <t xml:space="preserve">Reviewer</t>
  </si>
  <si>
    <t xml:space="preserve">Review Date</t>
  </si>
  <si>
    <t xml:space="preserve">Technical Accuracy Status</t>
  </si>
  <si>
    <t xml:space="preserve">Taxonomy Mapping Status</t>
  </si>
  <si>
    <t xml:space="preserve">Source Verification Status</t>
  </si>
  <si>
    <t xml:space="preserve">Safety Review Status</t>
  </si>
  <si>
    <t xml:space="preserve">Measurement Validation Status</t>
  </si>
  <si>
    <t xml:space="preserve">Overall Decision</t>
  </si>
  <si>
    <t xml:space="preserve">Review Comments</t>
  </si>
  <si>
    <t xml:space="preserve">PENDING</t>
  </si>
  <si>
    <t xml:space="preserve">Synthetic scenario; reviewer, date and sign-off intentionally blank.</t>
  </si>
  <si>
    <t xml:space="preserve">Source ID</t>
  </si>
  <si>
    <t xml:space="preserve">Title</t>
  </si>
  <si>
    <t xml:space="preserve">Publisher</t>
  </si>
  <si>
    <t xml:space="preserve">Identifier</t>
  </si>
  <si>
    <t xml:space="preserve">URL</t>
  </si>
  <si>
    <t xml:space="preserve">Level of access</t>
  </si>
  <si>
    <t xml:space="preserve">Reliability class</t>
  </si>
  <si>
    <t xml:space="preserve">Supports</t>
  </si>
  <si>
    <t xml:space="preserve">S01</t>
  </si>
  <si>
    <t xml:space="preserve">ISO 14224:2016 Petroleum, petrochemical and natural gas industries - Collection and exchange of reliability and maintenance data for equipment</t>
  </si>
  <si>
    <t xml:space="preserve">ISO</t>
  </si>
  <si>
    <t xml:space="preserve">ISO 14224:2016</t>
  </si>
  <si>
    <t xml:space="preserve">https://www.iso.org/standard/64076.html</t>
  </si>
  <si>
    <t xml:space="preserve">URL taken from project Source_Register; full text NOT inspected</t>
  </si>
  <si>
    <t xml:space="preserve">FMEA/taxonomy structure (informs, not formally complied with)</t>
  </si>
  <si>
    <t xml:space="preserve">S02</t>
  </si>
  <si>
    <t xml:space="preserve">IEC 60812:2018 Failure modes and effects analysis (FMEA and FMECA)</t>
  </si>
  <si>
    <t xml:space="preserve">IEC</t>
  </si>
  <si>
    <t xml:space="preserve">IEC 60812:2018</t>
  </si>
  <si>
    <t xml:space="preserve">https://webstore.iec.ch/en/publication/26359</t>
  </si>
  <si>
    <t xml:space="preserve">Separation of failure mode / effect / cause / action</t>
  </si>
  <si>
    <t xml:space="preserve">S03</t>
  </si>
  <si>
    <t xml:space="preserve">ISO 20816-1:2016 Mechanical vibration - Measurement and evaluation of machine vibration - Part 1: General guidelines</t>
  </si>
  <si>
    <t xml:space="preserve">ISO 20816-1:2016</t>
  </si>
  <si>
    <t xml:space="preserve">https://www.iso.org/standard/63180.html</t>
  </si>
  <si>
    <t xml:space="preserve">Scope/abstract read via web search this session; clauses and zone limits NOT read</t>
  </si>
  <si>
    <t xml:space="preserve">Vibration measurement/evaluation approach (no numeric limits used)</t>
  </si>
  <si>
    <t xml:space="preserve">S04</t>
  </si>
  <si>
    <t xml:space="preserve">ISO 20816-3:2022 Mechanical vibration - Measurement and evaluation of machine vibration - Part 3: Industrial machinery with power above 15 kW and speeds 120-30 000 r/min</t>
  </si>
  <si>
    <t xml:space="preserve">ISO 20816-3:2022</t>
  </si>
  <si>
    <t xml:space="preserve">URL not verified this session</t>
  </si>
  <si>
    <t xml:space="preserve">Title confirmed from search snippet; content NOT inspected</t>
  </si>
  <si>
    <t xml:space="preserve">Applicable vibration evaluation for larger machines</t>
  </si>
  <si>
    <t xml:space="preserve">S05</t>
  </si>
  <si>
    <t xml:space="preserve">ISO 281 Rolling bearings - Dynamic load ratings and rating life</t>
  </si>
  <si>
    <t xml:space="preserve">ISO 281</t>
  </si>
  <si>
    <t xml:space="preserve">Cited in project FMEA_Taxonomy source column; NOT inspected</t>
  </si>
  <si>
    <t xml:space="preserve">Bearing life/lubrication principles</t>
  </si>
  <si>
    <t xml:space="preserve">S06</t>
  </si>
  <si>
    <t xml:space="preserve">ISO 21049 / API 682 Pumps - Shaft sealing systems for centrifugal and rotary pumps</t>
  </si>
  <si>
    <t xml:space="preserve">ISO / API</t>
  </si>
  <si>
    <t xml:space="preserve">ISO 21049; API 682</t>
  </si>
  <si>
    <t xml:space="preserve">Mechanical seal practice</t>
  </si>
  <si>
    <t xml:space="preserve">IEEE Std 43 Recommended Practice for Testing Insulation Resistance of Electric Machinery</t>
  </si>
  <si>
    <t xml:space="preserve">IEEE</t>
  </si>
  <si>
    <t xml:space="preserve">IEEE Std 43 (edition to be confirmed)</t>
  </si>
  <si>
    <t xml:space="preserve">Identifier recalled, NOT verified or inspected; edition/year to be confirmed</t>
  </si>
  <si>
    <t xml:space="preserve">Insulation resistance/PI test method; limits must be taken from licensed copy/OEM</t>
  </si>
  <si>
    <t xml:space="preserve">S08</t>
  </si>
  <si>
    <t xml:space="preserve">ANSI/HI 9.6.1 Rotodynamic Pumps - Guideline for NPSH Margin</t>
  </si>
  <si>
    <t xml:space="preserve">Hydraulic Institute</t>
  </si>
  <si>
    <t xml:space="preserve">ANSI/HI 9.6.1 (edition to be confirmed)</t>
  </si>
  <si>
    <t xml:space="preserve">Identifier recalled, NOT verified or inspected</t>
  </si>
  <si>
    <t xml:space="preserve">NPSH margin principle for cavitation cases</t>
  </si>
  <si>
    <t xml:space="preserve">S09</t>
  </si>
  <si>
    <t xml:space="preserve">ISO 8573-1 Compressed air - Contaminants and purity classes</t>
  </si>
  <si>
    <t xml:space="preserve">ISO 8573-1</t>
  </si>
  <si>
    <t xml:space="preserve">Oil/water purity classes for downstream air checks</t>
  </si>
  <si>
    <t xml:space="preserve">29 CFR 1910.147 The control of hazardous energy (lockout/tagout)</t>
  </si>
  <si>
    <t xml:space="preserve">OSHA</t>
  </si>
  <si>
    <t xml:space="preserve">29 CFR 1910.147</t>
  </si>
  <si>
    <t xml:space="preserve">https://www.osha.gov/laws-regs/regulations/standardnumber/1910/1910.147</t>
  </si>
  <si>
    <t xml:space="preserve">URL from general knowledge, NOT fetched this session; site/legal procedure governs in India</t>
  </si>
  <si>
    <t xml:space="preserve">LOTO principle (general guidance only)</t>
  </si>
  <si>
    <t xml:space="preserve">NFPA 70E Standard for Electrical Safety in the Workplace</t>
  </si>
  <si>
    <t xml:space="preserve">NFPA</t>
  </si>
  <si>
    <t xml:space="preserve">NFPA 70E</t>
  </si>
  <si>
    <t xml:space="preserve">Electrical work safety principle</t>
  </si>
  <si>
    <t xml:space="preserve">S12</t>
  </si>
  <si>
    <t xml:space="preserve">G1_Failure_Mode_and_FMEA_Taxonomy_v1.0.xlsx (project taxonomy)</t>
  </si>
  <si>
    <t xml:space="preserve">Team LNCT Qubit G1</t>
  </si>
  <si>
    <t xml:space="preserve">Project file</t>
  </si>
  <si>
    <t xml:space="preserve">n/a (internal)</t>
  </si>
  <si>
    <t xml:space="preserve">Fully read; all rows are Engineering Assumption / pending domain review</t>
  </si>
  <si>
    <t xml:space="preserve">Taxonomy source of truth</t>
  </si>
  <si>
    <t xml:space="preserve">S13</t>
  </si>
  <si>
    <t xml:space="preserve">G1_Equipment_Wise_Symptom_Cause_Action_Reference_v1.0.xlsx (original cases)</t>
  </si>
  <si>
    <t xml:space="preserve">Fully read; seed/synthetic</t>
  </si>
  <si>
    <t xml:space="preserve">Original 34 cases</t>
  </si>
  <si>
    <t xml:space="preserve">Engineering interpretation by author of this workbook (general rotating-machinery reliability principles)</t>
  </si>
  <si>
    <t xml:space="preserve">This workbook</t>
  </si>
  <si>
    <t xml:space="preserve">n/a</t>
  </si>
  <si>
    <t xml:space="preserve">No OEM manual consulted for any case</t>
  </si>
  <si>
    <t xml:space="preserve">Case narratives, differential diagnosis, corrective-action outlines</t>
  </si>
  <si>
    <t xml:space="preserve">Existing FM-ID (original)</t>
  </si>
  <si>
    <t xml:space="preserve">Resolved FM-ID / Taxonomy Code</t>
  </si>
  <si>
    <t xml:space="preserve">Reason / Gap</t>
  </si>
  <si>
    <t xml:space="preserve">Suggested Resolution</t>
  </si>
  <si>
    <t xml:space="preserve">Validation Status</t>
  </si>
  <si>
    <t xml:space="preserve">GAP / PUMP.BRNG.ROLL</t>
  </si>
  <si>
    <t xml:space="preserve">Taxonomy code added; no FM-ID exists.</t>
  </si>
  <si>
    <t xml:space="preserve">FLAGGED - review</t>
  </si>
  <si>
    <t xml:space="preserve">FM-032 / PUMP.SEAL.FACE</t>
  </si>
  <si>
    <t xml:space="preserve">Taxonomy code/FM-ID filled from workbooks; flag for steward confirmation.</t>
  </si>
  <si>
    <t xml:space="preserve">PASS - valid existing IDs</t>
  </si>
  <si>
    <t xml:space="preserve">FM-018 / PUMP.DRVT.CPLG</t>
  </si>
  <si>
    <t xml:space="preserve">FM-030 / PUMP.SUCT.STRN</t>
  </si>
  <si>
    <t xml:space="preserve">FM-003 / PUMP.HYDR.IMPL</t>
  </si>
  <si>
    <t xml:space="preserve">Raise taxonomy review request.</t>
  </si>
  <si>
    <t xml:space="preserve">FM-043 / PUMP.BRNG.ROLL</t>
  </si>
  <si>
    <t xml:space="preserve">FM-042 / PUMP.SUCT.PRIM</t>
  </si>
  <si>
    <t xml:space="preserve">FM-019 / PUMP.BRNG.SEAL</t>
  </si>
  <si>
    <t xml:space="preserve">FM-050 / GAP</t>
  </si>
  <si>
    <t xml:space="preserve">FM-017 / GAP</t>
  </si>
  <si>
    <t xml:space="preserve">FM-048 / GAP</t>
  </si>
  <si>
    <t xml:space="preserve">FM-030 / PUMP.HYDR.WEAR</t>
  </si>
  <si>
    <t xml:space="preserve">FM-018 / PUMP.HYDR.RECR</t>
  </si>
  <si>
    <t xml:space="preserve">FM-030 / PUMP.SUCT.PRIM</t>
  </si>
  <si>
    <t xml:space="preserve">FM-042 / PUMP.SHFT.SHAF</t>
  </si>
  <si>
    <t xml:space="preserve">FM-028 / ELEC.MOT.STAT</t>
  </si>
  <si>
    <t xml:space="preserve">FM-035 / ELEC.MOT.BRNG</t>
  </si>
  <si>
    <t xml:space="preserve">FM-039 / ELEC.MOT.COOL</t>
  </si>
  <si>
    <t xml:space="preserve">FM-037 / GAP</t>
  </si>
  <si>
    <t xml:space="preserve">FM-036 / ELEC.MOT.IMBL</t>
  </si>
  <si>
    <t xml:space="preserve">FM-047 / GAP</t>
  </si>
  <si>
    <t xml:space="preserve">FM-038 / ELEC.MOT.SUPP</t>
  </si>
  <si>
    <t xml:space="preserve">FM-041 / GAP</t>
  </si>
  <si>
    <t xml:space="preserve">FM-040 / ELEC.MOT.TERM</t>
  </si>
  <si>
    <t xml:space="preserve">FM-034 / ELEC.MOT.COOL</t>
  </si>
  <si>
    <t xml:space="preserve">FM-036 / MOT.MNTG.FEET</t>
  </si>
  <si>
    <t xml:space="preserve">FM-034 / ELEC.MOT.AGAP</t>
  </si>
  <si>
    <t xml:space="preserve">FM-036 / ELEC.MOT.ROTR</t>
  </si>
  <si>
    <t xml:space="preserve">FM-034 / ELEC.MOT.BRDC</t>
  </si>
  <si>
    <t xml:space="preserve">FM-036 / GAP</t>
  </si>
  <si>
    <t xml:space="preserve">FM-029 / COMP.OSEP.ELEM</t>
  </si>
  <si>
    <t xml:space="preserve">FM-ID changed FM-016 -&gt; FM-029: original symptom is slow pressure build with high current, not oil carryover.</t>
  </si>
  <si>
    <t xml:space="preserve">FM-005 / COMP.COOL.COLR</t>
  </si>
  <si>
    <t xml:space="preserve">FM-029 / COMP.INTK.FILT</t>
  </si>
  <si>
    <t xml:space="preserve">FM-016 / COMP.OSEP.ELEM</t>
  </si>
  <si>
    <t xml:space="preserve">FM-020 / GAP</t>
  </si>
  <si>
    <t xml:space="preserve">FM-012 / GAP</t>
  </si>
  <si>
    <t xml:space="preserve">FM-004 / COMP.VALV.UNL</t>
  </si>
  <si>
    <t xml:space="preserve">FM-013 / COMP.COND.DRN</t>
  </si>
  <si>
    <t xml:space="preserve">FM-002 / GAP</t>
  </si>
  <si>
    <t xml:space="preserve">FM-029 / COMP.VALV.MPV</t>
  </si>
  <si>
    <t xml:space="preserve">FM-012 / COMP.AEND.BRNG</t>
  </si>
  <si>
    <t xml:space="preserve">FM-029 / COMP.AEND.ROTR</t>
  </si>
  <si>
    <t xml:space="preserve">FM-005 / COMP.OILS.THRM</t>
  </si>
  <si>
    <t xml:space="preserve">FM-004 / COMP.VALV.SOL</t>
  </si>
  <si>
    <t xml:space="preserve">Detail</t>
  </si>
  <si>
    <t xml:space="preserve">Retained</t>
  </si>
  <si>
    <t xml:space="preserve">All 34 original cases kept with original IDs, text and provenance (original columns untouched except two labels noted below)</t>
  </si>
  <si>
    <t xml:space="preserve">Added</t>
  </si>
  <si>
    <t xml:space="preserve">16 new cases: PUMP-013..017, MOT-013..017, COMP-011..016 to reach 17/17/16</t>
  </si>
  <si>
    <t xml:space="preserve">Relabelled column</t>
  </si>
  <si>
    <t xml:space="preserve">"Confirmed Cause" renamed to state it is unconfirmed (no confirmation evidence exists); "Mapped Failure Mode" and "Failure Mode ID (project)" marked as [original value]</t>
  </si>
  <si>
    <t xml:space="preserve">Modified (substantive)</t>
  </si>
  <si>
    <t xml:space="preserve">CASE-PUMP-006 (secondary seal), PUMP-007 (oil sump), PUMP-009 (housing seal), PUMP-010, MOT-006 (under-lube), COMP-003 (oil-side cooler fouling), COMP-005: scenarios sharpened to remove near-duplicates; original text retained in original columns</t>
  </si>
  <si>
    <t xml:space="preserve">Mapping changed</t>
  </si>
  <si>
    <t xml:space="preserve">CASE-COMP-001: FM-016 (provisional) -&gt; FM-029, because symptom is slow pressure build; CASE-PUMP-001: taxonomy code PUMP.BRNG.ROLL added; all cases now carry taxonomy code and/or FM-ID with gaps flagged</t>
  </si>
  <si>
    <t xml:space="preserve">Error found in original</t>
  </si>
  <si>
    <t xml:space="preserve">Several imported cases were near-duplicates (seal, separator, cooler, bearing-overheat); original models like "Kirloskar DB-100 (illustrative)" are not real documented configurations and are marked as such</t>
  </si>
  <si>
    <t xml:space="preserve">Depends on real data</t>
  </si>
  <si>
    <t xml:space="preserve">All measurements, thresholds, OEM limits, intervals, part numbers, models, root-cause confirmations, reviewer sign-off</t>
  </si>
  <si>
    <t xml:space="preserve">Depth caveat</t>
  </si>
  <si>
    <t xml:space="preserve">Narrative depth is uneven: pump cases 001-009 are most detailed; later pump, motor 010-017 and several compressor cases are shorter outlines needing expert expansion</t>
  </si>
  <si>
    <t xml:space="preserve">Not performed</t>
  </si>
  <si>
    <t xml:space="preserve">Link validation (no network in bash); OEM manual research; clause-level standard reading</t>
  </si>
  <si>
    <t xml:space="preserve">Earlier changes</t>
  </si>
  <si>
    <t xml:space="preserve">Case Origin set to Synthetic Scenario; column T renamed; Import_View and Review_Actions sheets added; quality report recalculated. See Review_Actions.</t>
  </si>
  <si>
    <t xml:space="preserve">Latest changes</t>
  </si>
  <si>
    <t xml:space="preserve">Import_View: GAP text converted to NULL with gap flags; Taxonomy_Proposed sheet added (11 draft rows, not approved); Review_Actions extended; README updated.</t>
  </si>
  <si>
    <t xml:space="preserve">Check</t>
  </si>
  <si>
    <t xml:space="preserve">Result</t>
  </si>
  <si>
    <t xml:space="preserve">Expected</t>
  </si>
  <si>
    <t xml:space="preserve">Note</t>
  </si>
  <si>
    <t xml:space="preserve">Total cases</t>
  </si>
  <si>
    <t xml:space="preserve">Expected 50</t>
  </si>
  <si>
    <t xml:space="preserve">Pump cases</t>
  </si>
  <si>
    <t xml:space="preserve">Expected 17</t>
  </si>
  <si>
    <t xml:space="preserve">Motor cases</t>
  </si>
  <si>
    <t xml:space="preserve">Compressor cases</t>
  </si>
  <si>
    <t xml:space="preserve">Expected 16</t>
  </si>
  <si>
    <t xml:space="preserve">Duplicate Case IDs</t>
  </si>
  <si>
    <t xml:space="preserve">Must be 0</t>
  </si>
  <si>
    <t xml:space="preserve">Rows sharing identical Primary Suspected Cause text</t>
  </si>
  <si>
    <t xml:space="preserve">Exact-text duplicates only; semantic similarity needs human review</t>
  </si>
  <si>
    <t xml:space="preserve">Blank mandatory cells</t>
  </si>
  <si>
    <t xml:space="preserve">Invalid FMEA_Taxonomy codes</t>
  </si>
  <si>
    <t xml:space="preserve">Codes must exist in taxonomy</t>
  </si>
  <si>
    <t xml:space="preserve">Invalid vocabulary FM-IDs</t>
  </si>
  <si>
    <t xml:space="preserve">IDs must exist in vocabulary</t>
  </si>
  <si>
    <t xml:space="preserve">Cases with taxonomy gap (no FMEA_Taxonomy code)</t>
  </si>
  <si>
    <t xml:space="preserve">INFO/WARN: gaps flagged for taxonomy review, not errors</t>
  </si>
  <si>
    <t xml:space="preserve">Cases with no vocabulary FM-ID</t>
  </si>
  <si>
    <t xml:space="preserve">INFO/WARN: gaps flagged for taxonomy review</t>
  </si>
  <si>
    <t xml:space="preserve">Ambiguous mappings</t>
  </si>
  <si>
    <t xml:space="preserve">INFO/WARN: expert review needed</t>
  </si>
  <si>
    <t xml:space="preserve">Missing source references</t>
  </si>
  <si>
    <t xml:space="preserve">Unsupported numerical thresholds (reference policy not OEM/site-based)</t>
  </si>
  <si>
    <t xml:space="preserve">Cases labelled VERIFIED</t>
  </si>
  <si>
    <t xml:space="preserve">Must be 0 (no reviewer sign-off exists)</t>
  </si>
  <si>
    <t xml:space="preserve">Cases missing LOTO classification</t>
  </si>
  <si>
    <t xml:space="preserve">Cases missing supervisor-approval flag</t>
  </si>
  <si>
    <t xml:space="preserve">Cases with incomplete diagnostic workflow (&lt;5 steps)</t>
  </si>
  <si>
    <t xml:space="preserve">Cases pending expert validation</t>
  </si>
  <si>
    <t xml:space="preserve">INFO: expected 50 until reviewed</t>
  </si>
  <si>
    <t xml:space="preserve">Invalid source URLs</t>
  </si>
  <si>
    <t xml:space="preserve">NOT RUN</t>
  </si>
  <si>
    <t xml:space="preserve">No network access for link checking in this session</t>
  </si>
  <si>
    <t xml:space="preserve">OEM Example</t>
  </si>
  <si>
    <t xml:space="preserve">DRAFT</t>
  </si>
  <si>
    <t xml:space="preserve">Published Case</t>
  </si>
  <si>
    <t xml:space="preserve">OEM documentation</t>
  </si>
  <si>
    <t xml:space="preserve">B</t>
  </si>
  <si>
    <t xml:space="preserve">In review</t>
  </si>
  <si>
    <t xml:space="preserve">Not applicable (Tier 1/2 only)</t>
  </si>
  <si>
    <t xml:space="preserve">APPROVED</t>
  </si>
  <si>
    <t xml:space="preserve">Actual Field Record</t>
  </si>
  <si>
    <t xml:space="preserve">Published engineering reference</t>
  </si>
  <si>
    <t xml:space="preserve">C</t>
  </si>
  <si>
    <t xml:space="preserve">VERIFIED</t>
  </si>
  <si>
    <t xml:space="preserve">Approved</t>
  </si>
  <si>
    <t xml:space="preserve">APPROVED WITH CHANGES</t>
  </si>
  <si>
    <t xml:space="preserve">Actual field observation</t>
  </si>
  <si>
    <t xml:space="preserve">REJECTED</t>
  </si>
  <si>
    <t xml:space="preserve">Rejected</t>
  </si>
  <si>
    <t xml:space="preserve">Supervisor-verified finding</t>
  </si>
  <si>
    <t xml:space="preserve">REVOKED</t>
  </si>
</sst>
</file>

<file path=xl/styles.xml><?xml version="1.0" encoding="utf-8"?>
<styleSheet xmlns="http://schemas.openxmlformats.org/spreadsheetml/2006/main">
  <numFmts count="1">
    <numFmt numFmtId="164" formatCode="General"/>
  </numFmts>
  <fonts count="10">
    <font>
      <sz val="11"/>
      <color theme="1"/>
      <name val="Calibri"/>
      <family val="2"/>
      <charset val="1"/>
    </font>
    <font>
      <sz val="10"/>
      <name val="Arial"/>
      <family val="0"/>
    </font>
    <font>
      <sz val="10"/>
      <name val="Arial"/>
      <family val="0"/>
    </font>
    <font>
      <sz val="10"/>
      <name val="Arial"/>
      <family val="0"/>
    </font>
    <font>
      <b val="true"/>
      <sz val="18"/>
      <color rgb="FF1F3864"/>
      <name val="Cambria"/>
      <family val="0"/>
      <charset val="1"/>
    </font>
    <font>
      <i val="true"/>
      <sz val="11"/>
      <color rgb="FF595959"/>
      <name val="Cambria"/>
      <family val="0"/>
      <charset val="1"/>
    </font>
    <font>
      <b val="true"/>
      <sz val="13"/>
      <color rgb="FF1F3864"/>
      <name val="Cambria"/>
      <family val="0"/>
      <charset val="1"/>
    </font>
    <font>
      <b val="true"/>
      <sz val="11"/>
      <color rgb="FFFFFFFF"/>
      <name val="Cambria"/>
      <family val="0"/>
      <charset val="1"/>
    </font>
    <font>
      <b val="true"/>
      <sz val="11"/>
      <name val="Cambria"/>
      <family val="0"/>
      <charset val="1"/>
    </font>
    <font>
      <u val="single"/>
      <sz val="11"/>
      <color rgb="FF0563C1"/>
      <name val="Cambria"/>
      <family val="0"/>
      <charset val="1"/>
    </font>
  </fonts>
  <fills count="5">
    <fill>
      <patternFill patternType="none"/>
    </fill>
    <fill>
      <patternFill patternType="gray125"/>
    </fill>
    <fill>
      <patternFill patternType="solid">
        <fgColor rgb="FFDCE6F1"/>
        <bgColor rgb="FFDDEBF7"/>
      </patternFill>
    </fill>
    <fill>
      <patternFill patternType="solid">
        <fgColor rgb="FF1F3864"/>
        <bgColor rgb="FF1F4E78"/>
      </patternFill>
    </fill>
    <fill>
      <patternFill patternType="solid">
        <fgColor rgb="FF1F4E78"/>
        <bgColor rgb="FF1F3864"/>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2" borderId="0" xfId="0" applyFont="true" applyBorder="false" applyAlignment="true" applyProtection="false">
      <alignment horizontal="general" vertical="bottom" textRotation="0" wrapText="false" indent="0" shrinkToFit="false"/>
      <protection locked="true" hidden="false"/>
    </xf>
    <xf numFmtId="164" fontId="0" fillId="2" borderId="0" xfId="0" applyFont="false" applyBorder="false" applyAlignment="true" applyProtection="false">
      <alignment horizontal="general" vertical="bottom" textRotation="0" wrapText="false" indent="0" shrinkToFit="false"/>
      <protection locked="true" hidden="false"/>
    </xf>
    <xf numFmtId="164" fontId="0" fillId="0" borderId="0" xfId="0" applyFont="true" applyBorder="true" applyAlignment="true" applyProtection="false">
      <alignment horizontal="general" vertical="top" textRotation="0" wrapText="true" indent="0" shrinkToFit="false"/>
      <protection locked="true" hidden="false"/>
    </xf>
    <xf numFmtId="164" fontId="7" fillId="3"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4" fontId="7" fillId="4" borderId="0" xfId="0" applyFont="true" applyBorder="false" applyAlignment="true" applyProtection="false">
      <alignment horizontal="general" vertical="top" textRotation="0" wrapText="true" indent="0" shrinkToFit="false"/>
      <protection locked="true" hidden="false"/>
    </xf>
    <xf numFmtId="164" fontId="7" fillId="3" borderId="0" xfId="0" applyFont="true" applyBorder="false" applyAlignment="tru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xf numFmtId="164" fontId="0" fillId="0" borderId="0" xfId="0" applyFont="false" applyBorder="false" applyAlignment="true" applyProtection="false">
      <alignment horizontal="general" vertical="top" textRotation="0" wrapText="true" indent="0" shrinkToFit="false"/>
      <protection locked="true" hidden="false"/>
    </xf>
    <xf numFmtId="164" fontId="7" fillId="4"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2">
    <dxf>
      <fill>
        <patternFill patternType="solid">
          <fgColor rgb="FF1F4E78"/>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FFEB9C"/>
          <bgColor rgb="FF000000"/>
        </patternFill>
      </fill>
    </dxf>
    <dxf>
      <fill>
        <patternFill>
          <bgColor rgb="FFC6EFCE"/>
        </patternFill>
      </fill>
    </dxf>
    <dxf>
      <fill>
        <patternFill>
          <bgColor rgb="FFFFEB9C"/>
        </patternFill>
      </fill>
    </dxf>
    <dxf>
      <fill>
        <patternFill>
          <bgColor rgb="FFDDEBF7"/>
        </patternFill>
      </fill>
    </dxf>
    <dxf>
      <fill>
        <patternFill>
          <bgColor rgb="FFFFC7CE"/>
        </patternFill>
      </fill>
    </dxf>
    <dxf>
      <fill>
        <patternFill patternType="solid">
          <fgColor rgb="FF1F3864"/>
          <bgColor rgb="FF000000"/>
        </patternFill>
      </fill>
    </dxf>
    <dxf>
      <fill>
        <patternFill patternType="solid">
          <fgColor rgb="FF0563C1"/>
          <bgColor rgb="FF000000"/>
        </patternFill>
      </fill>
    </dxf>
    <dxf>
      <fill>
        <patternFill patternType="solid">
          <fgColor rgb="FFC6EFCE"/>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DDEBF7"/>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DCE6F1"/>
      <rgbColor rgb="FFC6EFCE"/>
      <rgbColor rgb="FFFFEB9C"/>
      <rgbColor rgb="FF99CCFF"/>
      <rgbColor rgb="FFFF99CC"/>
      <rgbColor rgb="FFCC99FF"/>
      <rgbColor rgb="FFFFC7CE"/>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ables/table1.xml><?xml version="1.0" encoding="utf-8"?>
<table xmlns="http://schemas.openxmlformats.org/spreadsheetml/2006/main" id="1" name="Cases" displayName="Cases" ref="A1:BM51" headerRowCount="1" totalsRowCount="0" totalsRowShown="0">
  <autoFilter ref="A1:BM51"/>
  <tableColumns count="65">
    <tableColumn id="1" name="Case ID"/>
    <tableColumn id="2" name="Plant / Facility"/>
    <tableColumn id="3" name="Production Line"/>
    <tableColumn id="4" name="Equipment Class"/>
    <tableColumn id="5" name="Equipment Model"/>
    <tableColumn id="6" name="Subsystem / Assembly"/>
    <tableColumn id="7" name="Technician-Reported Symptom"/>
    <tableColumn id="8" name="Mapped Failure Mode [original value]"/>
    <tableColumn id="9" name="Confirmed Cause (original label - unconfirmed; see Primary Suspected Cause)"/>
    <tableColumn id="10" name="Failure Effect"/>
    <tableColumn id="11" name="Tier 1 Safety &amp; Visual Checks"/>
    <tableColumn id="12" name="Tier 2 Non-Invasive Measurements"/>
    <tableColumn id="13" name="Tier 3 Corrective Action"/>
    <tableColumn id="14" name="Outcome / Verification Status"/>
    <tableColumn id="15" name="Source / Reference"/>
    <tableColumn id="16" name="Equipment Class ID"/>
    <tableColumn id="17" name="Failure Mode ID (project) [original value]"/>
    <tableColumn id="18" name="Source Case ID"/>
    <tableColumn id="19" name="Mapping Note"/>
    <tableColumn id="20" name="Carried Over From Original Seed (Yes/No)"/>
    <tableColumn id="21" name="Case Origin"/>
    <tableColumn id="22" name="Evidence Type"/>
    <tableColumn id="23" name="Symptom Category"/>
    <tableColumn id="24" name="Technician Symptom - Detailed (Hinglish)"/>
    <tableColumn id="25" name="Structured Symptom Description"/>
    <tableColumn id="26" name="Operating Status / Load Condition"/>
    <tableColumn id="27" name="Symptom Frequency / Duration"/>
    <tableColumn id="28" name="Severity (proposed, unreviewed)"/>
    <tableColumn id="29" name="Equipment Class (taxonomy)"/>
    <tableColumn id="30" name="Equipment Class ID (taxonomy)"/>
    <tableColumn id="31" name="Subsystem (taxonomy)"/>
    <tableColumn id="32" name="Component (taxonomy)"/>
    <tableColumn id="33" name="Taxonomy Code"/>
    <tableColumn id="34" name="Taxonomy Failure Mode (exact)"/>
    <tableColumn id="35" name="Failure Mode ID (vocabulary)"/>
    <tableColumn id="36" name="Failure Mode Label (vocabulary)"/>
    <tableColumn id="37" name="Mapping Status"/>
    <tableColumn id="38" name="Mapping Note2"/>
    <tableColumn id="39" name="Equipment Model (verified status)"/>
    <tableColumn id="40" name="Operating Environment / Facility (fictional)"/>
    <tableColumn id="41" name="Primary Suspected Cause"/>
    <tableColumn id="42" name="Alternative Causes"/>
    <tableColumn id="43" name="Failure Mechanism"/>
    <tableColumn id="44" name="Failure Effect - Component / Equipment / Operational / If Unresolved"/>
    <tableColumn id="45" name="Tier 1 Checks (detailed)"/>
    <tableColumn id="46" name="Tier 1 Safety Precautions"/>
    <tableColumn id="47" name="Tier 2 Measurements (detailed)"/>
    <tableColumn id="48" name="Reference Value Policy"/>
    <tableColumn id="49" name="Actual Measurement"/>
    <tableColumn id="50" name="Measurement Evidence"/>
    <tableColumn id="51" name="Differential Diagnosis"/>
    <tableColumn id="52" name="Tier 3 Corrective Action Details"/>
    <tableColumn id="53" name="Required Spare Parts"/>
    <tableColumn id="54" name="LOTO Requirement"/>
    <tableColumn id="55" name="Supervisor Approval Required"/>
    <tableColumn id="56" name="Post-Repair Verification"/>
    <tableColumn id="57" name="Acceptance Criteria"/>
    <tableColumn id="58" name="Preventive Maintenance / Recurrence Prevention"/>
    <tableColumn id="59" name="Early Warning Indicators"/>
    <tableColumn id="60" name="Source Reliability"/>
    <tableColumn id="61" name="Source Reference IDs"/>
    <tableColumn id="62" name="Root Cause Confirmation Method"/>
    <tableColumn id="63" name="Verification Status"/>
    <tableColumn id="64" name="Supervisor Review Status"/>
    <tableColumn id="65" name="Validation Notes"/>
  </tableColumns>
</table>
</file>

<file path=xl/tables/table2.xml><?xml version="1.0" encoding="utf-8"?>
<table xmlns="http://schemas.openxmlformats.org/spreadsheetml/2006/main" id="2" name="Changes" displayName="Changes" ref="A1:B10" headerRowCount="1" totalsRowCount="0" totalsRowShown="0">
  <autoFilter ref="A1:B10"/>
  <tableColumns count="2">
    <tableColumn id="1" name="Item"/>
    <tableColumn id="2" name="Detail"/>
  </tableColumns>
</table>
</file>

<file path=xl/tables/table3.xml><?xml version="1.0" encoding="utf-8"?>
<table xmlns="http://schemas.openxmlformats.org/spreadsheetml/2006/main" id="3" name="DiagSteps" displayName="DiagSteps" ref="A1:N351" headerRowCount="1" totalsRowCount="0" totalsRowShown="0">
  <autoFilter ref="A1:N351"/>
  <tableColumns count="14">
    <tableColumn id="1" name="Diagnostic Step ID"/>
    <tableColumn id="2" name="Case ID"/>
    <tableColumn id="3" name="Step Number"/>
    <tableColumn id="4" name="Troubleshooting Tier"/>
    <tableColumn id="5" name="Diagnostic Question"/>
    <tableColumn id="6" name="Check / Measurement"/>
    <tableColumn id="7" name="Required Instrument"/>
    <tableColumn id="8" name="Expected Observation"/>
    <tableColumn id="9" name="Interpretation"/>
    <tableColumn id="10" name="Possible Failure Indication"/>
    <tableColumn id="11" name="Next Step"/>
    <tableColumn id="12" name="Safety Warning"/>
    <tableColumn id="13" name="Supervisor Approval Required"/>
    <tableColumn id="14" name="Reference"/>
  </tableColumns>
</table>
</file>

<file path=xl/tables/table4.xml><?xml version="1.0" encoding="utf-8"?>
<table xmlns="http://schemas.openxmlformats.org/spreadsheetml/2006/main" id="4" name="EquipRef" displayName="EquipRef" ref="A1:H31" headerRowCount="1" totalsRowCount="0" totalsRowShown="0">
  <autoFilter ref="A1:H31"/>
  <tableColumns count="8">
    <tableColumn id="1" name="Equipment Class"/>
    <tableColumn id="2" name="Equipment Class ID"/>
    <tableColumn id="3" name="Equipment Description"/>
    <tableColumn id="4" name="Subsystem / Assembly"/>
    <tableColumn id="5" name="Subsystem ID"/>
    <tableColumn id="6" name="Component / Maintainable Item"/>
    <tableColumn id="7" name="Taxonomy Code"/>
    <tableColumn id="8" name="Model Information"/>
  </tableColumns>
</table>
</file>

<file path=xl/tables/table5.xml><?xml version="1.0" encoding="utf-8"?>
<table xmlns="http://schemas.openxmlformats.org/spreadsheetml/2006/main" id="5" name="MapVal" displayName="MapVal" ref="A1:G51" headerRowCount="1" totalsRowCount="0" totalsRowShown="0">
  <autoFilter ref="A1:G51"/>
  <tableColumns count="7">
    <tableColumn id="1" name="Case ID"/>
    <tableColumn id="2" name="Existing FM-ID (original)"/>
    <tableColumn id="3" name="Resolved FM-ID / Taxonomy Code"/>
    <tableColumn id="4" name="Mapping Status"/>
    <tableColumn id="5" name="Reason / Gap"/>
    <tableColumn id="6" name="Suggested Resolution"/>
    <tableColumn id="7" name="Validation Status"/>
  </tableColumns>
</table>
</file>

<file path=xl/tables/table6.xml><?xml version="1.0" encoding="utf-8"?>
<table xmlns="http://schemas.openxmlformats.org/spreadsheetml/2006/main" id="6" name="MeasRef" displayName="MeasRef" ref="A1:L148" headerRowCount="1" totalsRowCount="0" totalsRowShown="0">
  <autoFilter ref="A1:L148"/>
  <tableColumns count="12">
    <tableColumn id="1" name="Equipment Class"/>
    <tableColumn id="2" name="Subsystem"/>
    <tableColumn id="3" name="Failure Mode"/>
    <tableColumn id="4" name="Parameter"/>
    <tableColumn id="5" name="Unit"/>
    <tableColumn id="6" name="Instrument"/>
    <tableColumn id="7" name="Measurement Location"/>
    <tableColumn id="8" name="Reference Value / Range"/>
    <tableColumn id="9" name="Applicability Conditions"/>
    <tableColumn id="10" name="OEM / Standard Source"/>
    <tableColumn id="11" name="Source Reliability"/>
    <tableColumn id="12" name="Limitations"/>
  </tableColumns>
</table>
</file>

<file path=xl/tables/table7.xml><?xml version="1.0" encoding="utf-8"?>
<table xmlns="http://schemas.openxmlformats.org/spreadsheetml/2006/main" id="7" name="Quality" displayName="Quality" ref="A1:E21" headerRowCount="1" totalsRowCount="0" totalsRowShown="0">
  <autoFilter ref="A1:E21"/>
  <tableColumns count="5">
    <tableColumn id="1" name="Check"/>
    <tableColumn id="2" name="Result"/>
    <tableColumn id="3" name="Expected"/>
    <tableColumn id="4" name="Status"/>
    <tableColumn id="5" name="Note"/>
  </tableColumns>
</table>
</file>

<file path=xl/tables/table8.xml><?xml version="1.0" encoding="utf-8"?>
<table xmlns="http://schemas.openxmlformats.org/spreadsheetml/2006/main" id="8" name="Safety" displayName="Safety" ref="A1:E15" headerRowCount="1" totalsRowCount="0" totalsRowShown="0">
  <autoFilter ref="A1:E15"/>
  <tableColumns count="5">
    <tableColumn id="1" name="Equipment Class"/>
    <tableColumn id="2" name="Hazard"/>
    <tableColumn id="3" name="Requirement"/>
    <tableColumn id="4" name="General vs Site-specific"/>
    <tableColumn id="5" name="Source IDs"/>
  </tableColumns>
</table>
</file>

<file path=xl/tables/table9.xml><?xml version="1.0" encoding="utf-8"?>
<table xmlns="http://schemas.openxmlformats.org/spreadsheetml/2006/main" id="9" name="SourceList" displayName="SourceList" ref="A1:H15" headerRowCount="1" totalsRowCount="0" totalsRowShown="0">
  <autoFilter ref="A1:H15"/>
  <tableColumns count="8">
    <tableColumn id="1" name="Source ID"/>
    <tableColumn id="2" name="Title"/>
    <tableColumn id="3" name="Publisher"/>
    <tableColumn id="4" name="Identifier"/>
    <tableColumn id="5" name="URL"/>
    <tableColumn id="6" name="Level of access"/>
    <tableColumn id="7" name="Reliability class"/>
    <tableColumn id="8" name="Supports"/>
  </tableColumns>
</table>
</file>

<file path=xl/tables/table10.xml><?xml version="1.0" encoding="utf-8"?>
<table xmlns="http://schemas.openxmlformats.org/spreadsheetml/2006/main" id="10" name="SpareParts" displayName="SpareParts" ref="A1:G82" headerRowCount="1" totalsRowCount="0" totalsRowShown="0">
  <autoFilter ref="A1:G82"/>
  <tableColumns count="7">
    <tableColumn id="1" name="Spare Part"/>
    <tableColumn id="2" name="Function"/>
    <tableColumn id="3" name="Associated Equipment"/>
    <tableColumn id="4" name="Associated Failure Modes"/>
    <tableColumn id="5" name="Associated Cases"/>
    <tableColumn id="6" name="Part Number / Compatibility"/>
    <tableColumn id="7" name="Source"/>
  </tableColumns>
</table>
</file>

<file path=xl/tables/table11.xml><?xml version="1.0" encoding="utf-8"?>
<table xmlns="http://schemas.openxmlformats.org/spreadsheetml/2006/main" id="11" name="Taxonomy" displayName="Taxonomy" ref="A1:K31" headerRowCount="1" totalsRowCount="0" totalsRowShown="0">
  <autoFilter ref="A1:K31"/>
  <tableColumns count="11">
    <tableColumn id="1" name="Equipment Category"/>
    <tableColumn id="2" name="Equipment Class"/>
    <tableColumn id="3" name="Subsystem / Assembly"/>
    <tableColumn id="4" name="Component / Maintainable Item"/>
    <tableColumn id="5" name="Failure Mode"/>
    <tableColumn id="6" name="Failure Mode Description"/>
    <tableColumn id="7" name="Failure Effect"/>
    <tableColumn id="8" name="Failure Cause"/>
    <tableColumn id="9" name="Corrective Action"/>
    <tableColumn id="10" name="Taxonomy Code / Reference"/>
    <tableColumn id="11" name="Data Source / Reference"/>
  </tableColumns>
</table>
</file>

<file path=xl/tables/table12.xml><?xml version="1.0" encoding="utf-8"?>
<table xmlns="http://schemas.openxmlformats.org/spreadsheetml/2006/main" id="12" name="VerifRec" displayName="VerifRec" ref="A1:J51" headerRowCount="1" totalsRowCount="0" totalsRowShown="0">
  <autoFilter ref="A1:J51"/>
  <tableColumns count="10">
    <tableColumn id="1" name="Case ID"/>
    <tableColumn id="2" name="Reviewer"/>
    <tableColumn id="3" name="Review Date"/>
    <tableColumn id="4" name="Technical Accuracy Status"/>
    <tableColumn id="5" name="Taxonomy Mapping Status"/>
    <tableColumn id="6" name="Source Verification Status"/>
    <tableColumn id="7" name="Safety Review Status"/>
    <tableColumn id="8" name="Measurement Validation Status"/>
    <tableColumn id="9" name="Overall Decision"/>
    <tableColumn id="10" name="Review Comments"/>
  </tableColumns>
</table>
</file>

<file path=xl/tables/table13.xml><?xml version="1.0" encoding="utf-8"?>
<table xmlns="http://schemas.openxmlformats.org/spreadsheetml/2006/main" id="13" name="Vocabulary" displayName="Vocabulary" ref="A1:E29" headerRowCount="1" totalsRowCount="0" totalsRowShown="0">
  <autoFilter ref="A1:E29"/>
  <tableColumns count="5">
    <tableColumn id="1" name="failure_mode_id"/>
    <tableColumn id="2" name="preferred_label"/>
    <tableColumn id="3" name="used_by_equipment_class_id"/>
    <tableColumn id="4" name="note"/>
    <tableColumn id="5" name="review_status"/>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table" Target="../tables/table1.xml"/>
</Relationships>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_rels/sheet5.xml.rels><?xml version="1.0" encoding="UTF-8"?>
<Relationships xmlns="http://schemas.openxmlformats.org/package/2006/relationships"><Relationship Id="rId1" Type="http://schemas.openxmlformats.org/officeDocument/2006/relationships/table" Target="../tables/table3.xml"/>
</Relationships>
</file>

<file path=xl/worksheets/_rels/sheet6.xml.rels><?xml version="1.0" encoding="UTF-8"?>
<Relationships xmlns="http://schemas.openxmlformats.org/package/2006/relationships"><Relationship Id="rId1" Type="http://schemas.openxmlformats.org/officeDocument/2006/relationships/table" Target="../tables/table11.xml"/>
</Relationships>
</file>

<file path=xl/worksheets/_rels/sheet8.xml.rels><?xml version="1.0" encoding="UTF-8"?>
<Relationships xmlns="http://schemas.openxmlformats.org/package/2006/relationships"><Relationship Id="rId1" Type="http://schemas.openxmlformats.org/officeDocument/2006/relationships/table" Target="../tables/table13.xml"/>
</Relationships>
</file>

<file path=xl/worksheets/_rels/sheet9.xml.rels><?xml version="1.0" encoding="UTF-8"?>
<Relationships xmlns="http://schemas.openxmlformats.org/package/2006/relationships"><Relationship Id="rId1" Type="http://schemas.openxmlformats.org/officeDocument/2006/relationships/table" Target="../tables/table6.xml"/>
</Relationships>
</file>

<file path=xl/worksheets/_rels/sheet10.xml.rels><?xml version="1.0" encoding="UTF-8"?>
<Relationships xmlns="http://schemas.openxmlformats.org/package/2006/relationships"><Relationship Id="rId1" Type="http://schemas.openxmlformats.org/officeDocument/2006/relationships/table" Target="../tables/table4.xml"/>
</Relationships>
</file>

<file path=xl/worksheets/_rels/sheet11.xml.rels><?xml version="1.0" encoding="UTF-8"?>
<Relationships xmlns="http://schemas.openxmlformats.org/package/2006/relationships"><Relationship Id="rId1" Type="http://schemas.openxmlformats.org/officeDocument/2006/relationships/table" Target="../tables/table10.xml"/>
</Relationships>
</file>

<file path=xl/worksheets/_rels/sheet12.xml.rels><?xml version="1.0" encoding="UTF-8"?>
<Relationships xmlns="http://schemas.openxmlformats.org/package/2006/relationships"><Relationship Id="rId1" Type="http://schemas.openxmlformats.org/officeDocument/2006/relationships/table" Target="../tables/table8.xml"/>
</Relationships>
</file>

<file path=xl/worksheets/_rels/sheet13.xml.rels><?xml version="1.0" encoding="UTF-8"?>
<Relationships xmlns="http://schemas.openxmlformats.org/package/2006/relationships"><Relationship Id="rId1" Type="http://schemas.openxmlformats.org/officeDocument/2006/relationships/table" Target="../tables/table12.xml"/>
</Relationships>
</file>

<file path=xl/worksheets/_rels/sheet14.xml.rels><?xml version="1.0" encoding="UTF-8"?>
<Relationships xmlns="http://schemas.openxmlformats.org/package/2006/relationships"><Relationship Id="rId1" Type="http://schemas.openxmlformats.org/officeDocument/2006/relationships/hyperlink" Target="https://www.iso.org/standard/64076.html" TargetMode="External"/><Relationship Id="rId2" Type="http://schemas.openxmlformats.org/officeDocument/2006/relationships/hyperlink" Target="https://webstore.iec.ch/en/publication/26359" TargetMode="External"/><Relationship Id="rId3" Type="http://schemas.openxmlformats.org/officeDocument/2006/relationships/hyperlink" Target="https://www.iso.org/standard/63180.html" TargetMode="External"/><Relationship Id="rId4" Type="http://schemas.openxmlformats.org/officeDocument/2006/relationships/hyperlink" Target="https://www.osha.gov/laws-regs/regulations/standardnumber/1910/1910.147" TargetMode="External"/><Relationship Id="rId5" Type="http://schemas.openxmlformats.org/officeDocument/2006/relationships/table" Target="../tables/table9.xml"/>
</Relationships>
</file>

<file path=xl/worksheets/_rels/sheet15.xml.rels><?xml version="1.0" encoding="UTF-8"?>
<Relationships xmlns="http://schemas.openxmlformats.org/package/2006/relationships"><Relationship Id="rId1" Type="http://schemas.openxmlformats.org/officeDocument/2006/relationships/table" Target="../tables/table5.xml"/>
</Relationships>
</file>

<file path=xl/worksheets/_rels/sheet16.xml.rels><?xml version="1.0" encoding="UTF-8"?>
<Relationships xmlns="http://schemas.openxmlformats.org/package/2006/relationships"><Relationship Id="rId1" Type="http://schemas.openxmlformats.org/officeDocument/2006/relationships/table" Target="../tables/table2.xml"/>
</Relationships>
</file>

<file path=xl/worksheets/_rels/sheet17.xml.rels><?xml version="1.0" encoding="UTF-8"?>
<Relationships xmlns="http://schemas.openxmlformats.org/package/2006/relationships"><Relationship Id="rId1" Type="http://schemas.openxmlformats.org/officeDocument/2006/relationships/table" Target="../tables/table7.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53"/>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8"/>
    <col collapsed="false" customWidth="true" hidden="false" outlineLevel="0" max="2" min="2" style="1" width="75"/>
    <col collapsed="false" customWidth="true" hidden="false" outlineLevel="0" max="3" min="3" style="1" width="50"/>
  </cols>
  <sheetData>
    <row r="1" customFormat="false" ht="21.75" hidden="false" customHeight="true" outlineLevel="0" collapsed="false">
      <c r="A1" s="2" t="s">
        <v>0</v>
      </c>
    </row>
    <row r="2" customFormat="false" ht="15" hidden="false" customHeight="true" outlineLevel="0" collapsed="false">
      <c r="A2" s="3" t="s">
        <v>1</v>
      </c>
    </row>
    <row r="4" customFormat="false" ht="15.75" hidden="false" customHeight="true" outlineLevel="0" collapsed="false">
      <c r="A4" s="4" t="s">
        <v>2</v>
      </c>
      <c r="B4" s="5"/>
      <c r="C4" s="5"/>
    </row>
    <row r="5" customFormat="false" ht="45" hidden="false" customHeight="true" outlineLevel="0" collapsed="false">
      <c r="A5" s="6" t="s">
        <v>3</v>
      </c>
      <c r="B5" s="6"/>
      <c r="C5" s="6"/>
    </row>
    <row r="6" customFormat="false" ht="45" hidden="false" customHeight="true" outlineLevel="0" collapsed="false">
      <c r="A6" s="6" t="s">
        <v>4</v>
      </c>
      <c r="B6" s="6"/>
      <c r="C6" s="6"/>
    </row>
    <row r="8" customFormat="false" ht="15.75" hidden="false" customHeight="true" outlineLevel="0" collapsed="false">
      <c r="A8" s="4" t="s">
        <v>5</v>
      </c>
      <c r="B8" s="5"/>
      <c r="C8" s="5"/>
    </row>
    <row r="9" customFormat="false" ht="15" hidden="false" customHeight="true" outlineLevel="0" collapsed="false">
      <c r="A9" s="7" t="s">
        <v>6</v>
      </c>
      <c r="B9" s="7" t="s">
        <v>7</v>
      </c>
      <c r="C9" s="7" t="s">
        <v>8</v>
      </c>
    </row>
    <row r="10" customFormat="false" ht="15" hidden="false" customHeight="true" outlineLevel="0" collapsed="false">
      <c r="A10" s="8" t="s">
        <v>9</v>
      </c>
      <c r="B10" s="9" t="s">
        <v>10</v>
      </c>
      <c r="C10" s="9" t="s">
        <v>11</v>
      </c>
    </row>
    <row r="11" customFormat="false" ht="30" hidden="false" customHeight="true" outlineLevel="0" collapsed="false">
      <c r="A11" s="8" t="s">
        <v>12</v>
      </c>
      <c r="B11" s="9" t="s">
        <v>13</v>
      </c>
      <c r="C11" s="9" t="s">
        <v>14</v>
      </c>
    </row>
    <row r="12" customFormat="false" ht="15" hidden="false" customHeight="true" outlineLevel="0" collapsed="false">
      <c r="A12" s="8" t="s">
        <v>15</v>
      </c>
      <c r="B12" s="9" t="s">
        <v>16</v>
      </c>
      <c r="C12" s="9" t="s">
        <v>17</v>
      </c>
    </row>
    <row r="13" customFormat="false" ht="15" hidden="false" customHeight="true" outlineLevel="0" collapsed="false">
      <c r="A13" s="8" t="s">
        <v>18</v>
      </c>
      <c r="B13" s="9" t="s">
        <v>19</v>
      </c>
      <c r="C13" s="9" t="s">
        <v>20</v>
      </c>
    </row>
    <row r="14" customFormat="false" ht="15" hidden="false" customHeight="true" outlineLevel="0" collapsed="false">
      <c r="A14" s="8" t="s">
        <v>21</v>
      </c>
      <c r="B14" s="9" t="s">
        <v>22</v>
      </c>
      <c r="C14" s="9" t="s">
        <v>23</v>
      </c>
    </row>
    <row r="15" customFormat="false" ht="30" hidden="false" customHeight="true" outlineLevel="0" collapsed="false">
      <c r="A15" s="8" t="s">
        <v>24</v>
      </c>
      <c r="B15" s="9" t="s">
        <v>25</v>
      </c>
      <c r="C15" s="9" t="s">
        <v>26</v>
      </c>
    </row>
    <row r="16" customFormat="false" ht="30" hidden="false" customHeight="true" outlineLevel="0" collapsed="false">
      <c r="A16" s="8" t="s">
        <v>27</v>
      </c>
      <c r="B16" s="9" t="s">
        <v>28</v>
      </c>
      <c r="C16" s="9" t="s">
        <v>29</v>
      </c>
    </row>
    <row r="17" customFormat="false" ht="15" hidden="false" customHeight="true" outlineLevel="0" collapsed="false">
      <c r="A17" s="8" t="s">
        <v>30</v>
      </c>
      <c r="B17" s="9" t="s">
        <v>31</v>
      </c>
      <c r="C17" s="9" t="s">
        <v>32</v>
      </c>
    </row>
    <row r="18" customFormat="false" ht="30" hidden="false" customHeight="true" outlineLevel="0" collapsed="false">
      <c r="A18" s="8" t="s">
        <v>33</v>
      </c>
      <c r="B18" s="9" t="s">
        <v>34</v>
      </c>
      <c r="C18" s="9" t="s">
        <v>35</v>
      </c>
    </row>
    <row r="19" customFormat="false" ht="15" hidden="false" customHeight="true" outlineLevel="0" collapsed="false">
      <c r="A19" s="8" t="s">
        <v>36</v>
      </c>
      <c r="B19" s="9" t="s">
        <v>37</v>
      </c>
      <c r="C19" s="9" t="s">
        <v>38</v>
      </c>
    </row>
    <row r="20" customFormat="false" ht="15" hidden="false" customHeight="true" outlineLevel="0" collapsed="false">
      <c r="A20" s="8" t="s">
        <v>39</v>
      </c>
      <c r="B20" s="9" t="s">
        <v>40</v>
      </c>
      <c r="C20" s="9" t="s">
        <v>41</v>
      </c>
    </row>
    <row r="21" customFormat="false" ht="15" hidden="false" customHeight="true" outlineLevel="0" collapsed="false">
      <c r="A21" s="8" t="s">
        <v>42</v>
      </c>
      <c r="B21" s="9" t="s">
        <v>43</v>
      </c>
      <c r="C21" s="9" t="s">
        <v>44</v>
      </c>
    </row>
    <row r="22" customFormat="false" ht="15" hidden="false" customHeight="true" outlineLevel="0" collapsed="false">
      <c r="A22" s="8" t="s">
        <v>45</v>
      </c>
      <c r="B22" s="9" t="s">
        <v>46</v>
      </c>
      <c r="C22" s="9" t="s">
        <v>47</v>
      </c>
    </row>
    <row r="23" customFormat="false" ht="15" hidden="false" customHeight="true" outlineLevel="0" collapsed="false">
      <c r="A23" s="8" t="s">
        <v>48</v>
      </c>
      <c r="B23" s="9" t="s">
        <v>49</v>
      </c>
      <c r="C23" s="9" t="s">
        <v>50</v>
      </c>
    </row>
    <row r="24" customFormat="false" ht="15" hidden="false" customHeight="true" outlineLevel="0" collapsed="false">
      <c r="A24" s="8" t="s">
        <v>51</v>
      </c>
      <c r="B24" s="9" t="s">
        <v>52</v>
      </c>
      <c r="C24" s="9" t="s">
        <v>53</v>
      </c>
    </row>
    <row r="25" customFormat="false" ht="15" hidden="false" customHeight="true" outlineLevel="0" collapsed="false">
      <c r="A25" s="8" t="s">
        <v>54</v>
      </c>
      <c r="B25" s="9" t="s">
        <v>55</v>
      </c>
      <c r="C25" s="9" t="s">
        <v>56</v>
      </c>
    </row>
    <row r="26" customFormat="false" ht="15" hidden="false" customHeight="true" outlineLevel="0" collapsed="false">
      <c r="A26" s="8" t="s">
        <v>57</v>
      </c>
      <c r="B26" s="9" t="s">
        <v>58</v>
      </c>
      <c r="C26" s="9" t="s">
        <v>59</v>
      </c>
    </row>
    <row r="28" customFormat="false" ht="15.75" hidden="false" customHeight="true" outlineLevel="0" collapsed="false">
      <c r="A28" s="4" t="s">
        <v>60</v>
      </c>
      <c r="B28" s="5"/>
      <c r="C28" s="5"/>
    </row>
    <row r="29" customFormat="false" ht="15" hidden="false" customHeight="true" outlineLevel="0" collapsed="false">
      <c r="A29" s="7" t="s">
        <v>61</v>
      </c>
      <c r="B29" s="7" t="s">
        <v>62</v>
      </c>
      <c r="C29" s="7"/>
    </row>
    <row r="30" customFormat="false" ht="15" hidden="false" customHeight="true" outlineLevel="0" collapsed="false">
      <c r="A30" s="8" t="s">
        <v>63</v>
      </c>
      <c r="B30" s="9" t="s">
        <v>64</v>
      </c>
      <c r="C30" s="9"/>
    </row>
    <row r="31" customFormat="false" ht="15" hidden="false" customHeight="true" outlineLevel="0" collapsed="false">
      <c r="A31" s="8" t="s">
        <v>65</v>
      </c>
      <c r="B31" s="9" t="s">
        <v>66</v>
      </c>
      <c r="C31" s="9"/>
    </row>
    <row r="32" customFormat="false" ht="15" hidden="false" customHeight="true" outlineLevel="0" collapsed="false">
      <c r="A32" s="8" t="s">
        <v>67</v>
      </c>
      <c r="B32" s="9" t="s">
        <v>68</v>
      </c>
      <c r="C32" s="9"/>
    </row>
    <row r="33" customFormat="false" ht="30" hidden="false" customHeight="true" outlineLevel="0" collapsed="false">
      <c r="A33" s="8" t="s">
        <v>69</v>
      </c>
      <c r="B33" s="9" t="s">
        <v>70</v>
      </c>
      <c r="C33" s="9"/>
    </row>
    <row r="34" customFormat="false" ht="30" hidden="false" customHeight="true" outlineLevel="0" collapsed="false">
      <c r="A34" s="8" t="s">
        <v>71</v>
      </c>
      <c r="B34" s="9" t="s">
        <v>72</v>
      </c>
      <c r="C34" s="9"/>
    </row>
    <row r="35" customFormat="false" ht="30" hidden="false" customHeight="true" outlineLevel="0" collapsed="false">
      <c r="A35" s="8" t="s">
        <v>73</v>
      </c>
      <c r="B35" s="9" t="s">
        <v>74</v>
      </c>
      <c r="C35" s="9"/>
    </row>
    <row r="36" customFormat="false" ht="15" hidden="false" customHeight="true" outlineLevel="0" collapsed="false">
      <c r="A36" s="8" t="s">
        <v>75</v>
      </c>
      <c r="B36" s="9" t="s">
        <v>76</v>
      </c>
      <c r="C36" s="9"/>
    </row>
    <row r="38" customFormat="false" ht="15.75" hidden="false" customHeight="true" outlineLevel="0" collapsed="false">
      <c r="A38" s="4" t="s">
        <v>77</v>
      </c>
      <c r="B38" s="5"/>
      <c r="C38" s="5"/>
    </row>
    <row r="39" customFormat="false" ht="30" hidden="false" customHeight="true" outlineLevel="0" collapsed="false">
      <c r="A39" s="6" t="s">
        <v>78</v>
      </c>
      <c r="B39" s="6"/>
      <c r="C39" s="6"/>
    </row>
    <row r="40" customFormat="false" ht="30" hidden="false" customHeight="true" outlineLevel="0" collapsed="false">
      <c r="A40" s="6" t="s">
        <v>79</v>
      </c>
      <c r="B40" s="6"/>
      <c r="C40" s="6"/>
    </row>
    <row r="41" customFormat="false" ht="30" hidden="false" customHeight="true" outlineLevel="0" collapsed="false">
      <c r="A41" s="6" t="s">
        <v>80</v>
      </c>
      <c r="B41" s="6"/>
      <c r="C41" s="6"/>
    </row>
    <row r="42" customFormat="false" ht="30" hidden="false" customHeight="true" outlineLevel="0" collapsed="false">
      <c r="A42" s="6" t="s">
        <v>81</v>
      </c>
      <c r="B42" s="6"/>
      <c r="C42" s="6"/>
    </row>
    <row r="44" customFormat="false" ht="15.75" hidden="false" customHeight="true" outlineLevel="0" collapsed="false">
      <c r="A44" s="4" t="s">
        <v>82</v>
      </c>
      <c r="B44" s="5"/>
      <c r="C44" s="5"/>
    </row>
    <row r="45" customFormat="false" ht="30" hidden="false" customHeight="true" outlineLevel="0" collapsed="false">
      <c r="A45" s="6" t="s">
        <v>83</v>
      </c>
      <c r="B45" s="6"/>
      <c r="C45" s="6"/>
    </row>
    <row r="46" customFormat="false" ht="30" hidden="false" customHeight="true" outlineLevel="0" collapsed="false">
      <c r="A46" s="6" t="s">
        <v>84</v>
      </c>
      <c r="B46" s="6"/>
      <c r="C46" s="6"/>
    </row>
    <row r="47" customFormat="false" ht="15" hidden="false" customHeight="true" outlineLevel="0" collapsed="false">
      <c r="A47" s="6" t="s">
        <v>85</v>
      </c>
      <c r="B47" s="6"/>
      <c r="C47" s="6"/>
    </row>
    <row r="48" customFormat="false" ht="15" hidden="false" customHeight="true" outlineLevel="0" collapsed="false">
      <c r="A48" s="6" t="s">
        <v>86</v>
      </c>
      <c r="B48" s="6"/>
      <c r="C48" s="6"/>
    </row>
    <row r="49" customFormat="false" ht="15" hidden="false" customHeight="true" outlineLevel="0" collapsed="false">
      <c r="A49" s="6" t="s">
        <v>87</v>
      </c>
      <c r="B49" s="6"/>
      <c r="C49" s="6"/>
    </row>
    <row r="50" customFormat="false" ht="15" hidden="false" customHeight="true" outlineLevel="0" collapsed="false">
      <c r="A50" s="6" t="s">
        <v>88</v>
      </c>
      <c r="B50" s="6"/>
      <c r="C50" s="6"/>
    </row>
    <row r="52" customFormat="false" ht="15.75" hidden="false" customHeight="true" outlineLevel="0" collapsed="false">
      <c r="A52" s="4" t="s">
        <v>89</v>
      </c>
      <c r="B52" s="5"/>
      <c r="C52" s="5"/>
    </row>
    <row r="53" customFormat="false" ht="45" hidden="false" customHeight="true" outlineLevel="0" collapsed="false">
      <c r="A53" s="6" t="s">
        <v>90</v>
      </c>
      <c r="B53" s="6"/>
      <c r="C53" s="6"/>
    </row>
  </sheetData>
  <mergeCells count="13">
    <mergeCell ref="A5:C5"/>
    <mergeCell ref="A6:C6"/>
    <mergeCell ref="A39:C39"/>
    <mergeCell ref="A40:C40"/>
    <mergeCell ref="A41:C41"/>
    <mergeCell ref="A42:C42"/>
    <mergeCell ref="A45:C45"/>
    <mergeCell ref="A46:C46"/>
    <mergeCell ref="A47:C47"/>
    <mergeCell ref="A48:C48"/>
    <mergeCell ref="A49:C49"/>
    <mergeCell ref="A50:C50"/>
    <mergeCell ref="A53:C5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M5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1" width="16"/>
    <col collapsed="false" customWidth="true" hidden="false" outlineLevel="0" max="3" min="2" style="1" width="38"/>
    <col collapsed="false" customWidth="true" hidden="false" outlineLevel="0" max="4" min="4" style="1" width="16"/>
    <col collapsed="false" customWidth="true" hidden="false" outlineLevel="0" max="15" min="5" style="1" width="38"/>
    <col collapsed="false" customWidth="true" hidden="false" outlineLevel="0" max="16" min="16" style="1" width="16"/>
    <col collapsed="false" customWidth="true" hidden="false" outlineLevel="0" max="17" min="17" style="1" width="38"/>
    <col collapsed="false" customWidth="true" hidden="false" outlineLevel="0" max="18" min="18" style="1" width="16"/>
    <col collapsed="false" customWidth="true" hidden="false" outlineLevel="0" max="19" min="19" style="1" width="38"/>
    <col collapsed="false" customWidth="true" hidden="false" outlineLevel="0" max="20" min="20" style="1" width="16"/>
    <col collapsed="false" customWidth="true" hidden="false" outlineLevel="0" max="59" min="21" style="1" width="38"/>
    <col collapsed="false" customWidth="true" hidden="false" outlineLevel="0" max="60" min="60" style="1" width="16"/>
    <col collapsed="false" customWidth="true" hidden="false" outlineLevel="0" max="65" min="61" style="1" width="38"/>
  </cols>
  <sheetData>
    <row r="1" customFormat="false" ht="45" hidden="false" customHeight="true" outlineLevel="0" collapsed="false">
      <c r="A1" s="10" t="s">
        <v>91</v>
      </c>
      <c r="B1" s="10" t="s">
        <v>92</v>
      </c>
      <c r="C1" s="10" t="s">
        <v>93</v>
      </c>
      <c r="D1" s="10" t="s">
        <v>94</v>
      </c>
      <c r="E1" s="10" t="s">
        <v>95</v>
      </c>
      <c r="F1" s="10" t="s">
        <v>96</v>
      </c>
      <c r="G1" s="10" t="s">
        <v>97</v>
      </c>
      <c r="H1" s="10" t="s">
        <v>98</v>
      </c>
      <c r="I1" s="10" t="s">
        <v>99</v>
      </c>
      <c r="J1" s="10" t="s">
        <v>100</v>
      </c>
      <c r="K1" s="10" t="s">
        <v>101</v>
      </c>
      <c r="L1" s="10" t="s">
        <v>102</v>
      </c>
      <c r="M1" s="10" t="s">
        <v>103</v>
      </c>
      <c r="N1" s="10" t="s">
        <v>104</v>
      </c>
      <c r="O1" s="10" t="s">
        <v>105</v>
      </c>
      <c r="P1" s="10" t="s">
        <v>106</v>
      </c>
      <c r="Q1" s="10" t="s">
        <v>107</v>
      </c>
      <c r="R1" s="10" t="s">
        <v>108</v>
      </c>
      <c r="S1" s="10" t="s">
        <v>109</v>
      </c>
      <c r="T1" s="10" t="s">
        <v>110</v>
      </c>
      <c r="U1" s="10" t="s">
        <v>111</v>
      </c>
      <c r="V1" s="10" t="s">
        <v>112</v>
      </c>
      <c r="W1" s="10" t="s">
        <v>113</v>
      </c>
      <c r="X1" s="10" t="s">
        <v>114</v>
      </c>
      <c r="Y1" s="10" t="s">
        <v>115</v>
      </c>
      <c r="Z1" s="10" t="s">
        <v>116</v>
      </c>
      <c r="AA1" s="10" t="s">
        <v>117</v>
      </c>
      <c r="AB1" s="10" t="s">
        <v>118</v>
      </c>
      <c r="AC1" s="10" t="s">
        <v>119</v>
      </c>
      <c r="AD1" s="10" t="s">
        <v>120</v>
      </c>
      <c r="AE1" s="10" t="s">
        <v>121</v>
      </c>
      <c r="AF1" s="10" t="s">
        <v>122</v>
      </c>
      <c r="AG1" s="10" t="s">
        <v>123</v>
      </c>
      <c r="AH1" s="10" t="s">
        <v>124</v>
      </c>
      <c r="AI1" s="10" t="s">
        <v>125</v>
      </c>
      <c r="AJ1" s="10" t="s">
        <v>126</v>
      </c>
      <c r="AK1" s="10" t="s">
        <v>75</v>
      </c>
      <c r="AL1" s="10" t="s">
        <v>109</v>
      </c>
      <c r="AM1" s="10" t="s">
        <v>127</v>
      </c>
      <c r="AN1" s="10" t="s">
        <v>128</v>
      </c>
      <c r="AO1" s="10" t="s">
        <v>129</v>
      </c>
      <c r="AP1" s="10" t="s">
        <v>130</v>
      </c>
      <c r="AQ1" s="10" t="s">
        <v>131</v>
      </c>
      <c r="AR1" s="10" t="s">
        <v>132</v>
      </c>
      <c r="AS1" s="10" t="s">
        <v>133</v>
      </c>
      <c r="AT1" s="10" t="s">
        <v>134</v>
      </c>
      <c r="AU1" s="10" t="s">
        <v>135</v>
      </c>
      <c r="AV1" s="10" t="s">
        <v>136</v>
      </c>
      <c r="AW1" s="10" t="s">
        <v>137</v>
      </c>
      <c r="AX1" s="10" t="s">
        <v>138</v>
      </c>
      <c r="AY1" s="10" t="s">
        <v>139</v>
      </c>
      <c r="AZ1" s="10" t="s">
        <v>140</v>
      </c>
      <c r="BA1" s="10" t="s">
        <v>141</v>
      </c>
      <c r="BB1" s="10" t="s">
        <v>142</v>
      </c>
      <c r="BC1" s="10" t="s">
        <v>143</v>
      </c>
      <c r="BD1" s="10" t="s">
        <v>144</v>
      </c>
      <c r="BE1" s="10" t="s">
        <v>145</v>
      </c>
      <c r="BF1" s="10" t="s">
        <v>146</v>
      </c>
      <c r="BG1" s="10" t="s">
        <v>147</v>
      </c>
      <c r="BH1" s="10" t="s">
        <v>148</v>
      </c>
      <c r="BI1" s="10" t="s">
        <v>149</v>
      </c>
      <c r="BJ1" s="10" t="s">
        <v>150</v>
      </c>
      <c r="BK1" s="10" t="s">
        <v>71</v>
      </c>
      <c r="BL1" s="10" t="s">
        <v>151</v>
      </c>
      <c r="BM1" s="10" t="s">
        <v>152</v>
      </c>
    </row>
    <row r="2" customFormat="false" ht="243" hidden="false" customHeight="true" outlineLevel="0" collapsed="false">
      <c r="A2" s="9" t="s">
        <v>153</v>
      </c>
      <c r="B2" s="9" t="s">
        <v>154</v>
      </c>
      <c r="C2" s="9" t="s">
        <v>155</v>
      </c>
      <c r="D2" s="9" t="s">
        <v>156</v>
      </c>
      <c r="E2" s="9" t="s">
        <v>157</v>
      </c>
      <c r="F2" s="9" t="s">
        <v>158</v>
      </c>
      <c r="G2" s="9" t="s">
        <v>159</v>
      </c>
      <c r="H2" s="9" t="s">
        <v>160</v>
      </c>
      <c r="I2" s="9" t="s">
        <v>161</v>
      </c>
      <c r="J2" s="9" t="s">
        <v>162</v>
      </c>
      <c r="K2" s="9" t="s">
        <v>163</v>
      </c>
      <c r="L2" s="9" t="s">
        <v>164</v>
      </c>
      <c r="M2" s="9" t="s">
        <v>165</v>
      </c>
      <c r="N2" s="9" t="s">
        <v>166</v>
      </c>
      <c r="O2" s="9" t="s">
        <v>167</v>
      </c>
      <c r="P2" s="9" t="s">
        <v>168</v>
      </c>
      <c r="Q2" s="9" t="s">
        <v>169</v>
      </c>
      <c r="R2" s="9" t="s">
        <v>170</v>
      </c>
      <c r="S2" s="9" t="s">
        <v>171</v>
      </c>
      <c r="T2" s="9" t="s">
        <v>172</v>
      </c>
      <c r="U2" s="9" t="s">
        <v>173</v>
      </c>
      <c r="V2" s="9" t="s">
        <v>174</v>
      </c>
      <c r="W2" s="9" t="s">
        <v>175</v>
      </c>
      <c r="X2" s="9" t="s">
        <v>176</v>
      </c>
      <c r="Y2" s="9" t="s">
        <v>177</v>
      </c>
      <c r="Z2" s="9" t="s">
        <v>178</v>
      </c>
      <c r="AA2" s="9" t="s">
        <v>179</v>
      </c>
      <c r="AB2" s="9" t="s">
        <v>180</v>
      </c>
      <c r="AC2" s="9" t="s">
        <v>156</v>
      </c>
      <c r="AD2" s="9" t="s">
        <v>168</v>
      </c>
      <c r="AE2" s="9" t="s">
        <v>158</v>
      </c>
      <c r="AF2" s="9" t="s">
        <v>181</v>
      </c>
      <c r="AG2" s="9" t="s">
        <v>182</v>
      </c>
      <c r="AH2" s="9" t="s">
        <v>160</v>
      </c>
      <c r="AI2" s="9" t="s">
        <v>183</v>
      </c>
      <c r="AJ2" s="9" t="s">
        <v>183</v>
      </c>
      <c r="AK2" s="9" t="s">
        <v>184</v>
      </c>
      <c r="AL2" s="9" t="s">
        <v>185</v>
      </c>
      <c r="AM2" s="9" t="s">
        <v>157</v>
      </c>
      <c r="AN2" s="9" t="s">
        <v>154</v>
      </c>
      <c r="AO2" s="9" t="s">
        <v>186</v>
      </c>
      <c r="AP2" s="9" t="s">
        <v>187</v>
      </c>
      <c r="AQ2" s="9" t="s">
        <v>188</v>
      </c>
      <c r="AR2" s="9" t="s">
        <v>189</v>
      </c>
      <c r="AS2" s="9" t="s">
        <v>190</v>
      </c>
      <c r="AT2" s="9" t="s">
        <v>191</v>
      </c>
      <c r="AU2" s="9" t="s">
        <v>192</v>
      </c>
      <c r="AV2" s="9" t="s">
        <v>193</v>
      </c>
      <c r="AW2" s="9" t="s">
        <v>194</v>
      </c>
      <c r="AX2" s="9" t="s">
        <v>195</v>
      </c>
      <c r="AY2" s="9" t="s">
        <v>196</v>
      </c>
      <c r="AZ2" s="9" t="s">
        <v>197</v>
      </c>
      <c r="BA2" s="9" t="s">
        <v>198</v>
      </c>
      <c r="BB2" s="9" t="s">
        <v>199</v>
      </c>
      <c r="BC2" s="9" t="s">
        <v>200</v>
      </c>
      <c r="BD2" s="9" t="s">
        <v>201</v>
      </c>
      <c r="BE2" s="9" t="s">
        <v>202</v>
      </c>
      <c r="BF2" s="9" t="s">
        <v>203</v>
      </c>
      <c r="BG2" s="9" t="s">
        <v>204</v>
      </c>
      <c r="BH2" s="9" t="s">
        <v>205</v>
      </c>
      <c r="BI2" s="9" t="s">
        <v>206</v>
      </c>
      <c r="BJ2" s="9" t="s">
        <v>207</v>
      </c>
      <c r="BK2" s="9" t="s">
        <v>208</v>
      </c>
      <c r="BL2" s="9" t="s">
        <v>209</v>
      </c>
      <c r="BM2" s="9" t="s">
        <v>210</v>
      </c>
    </row>
    <row r="3" customFormat="false" ht="189" hidden="false" customHeight="true" outlineLevel="0" collapsed="false">
      <c r="A3" s="9" t="s">
        <v>211</v>
      </c>
      <c r="B3" s="9" t="s">
        <v>212</v>
      </c>
      <c r="C3" s="9" t="s">
        <v>213</v>
      </c>
      <c r="D3" s="9" t="s">
        <v>156</v>
      </c>
      <c r="E3" s="9" t="s">
        <v>214</v>
      </c>
      <c r="F3" s="9" t="s">
        <v>215</v>
      </c>
      <c r="G3" s="9" t="s">
        <v>216</v>
      </c>
      <c r="H3" s="9" t="s">
        <v>217</v>
      </c>
      <c r="I3" s="9" t="s">
        <v>218</v>
      </c>
      <c r="J3" s="9" t="s">
        <v>219</v>
      </c>
      <c r="K3" s="9" t="s">
        <v>220</v>
      </c>
      <c r="L3" s="9" t="s">
        <v>221</v>
      </c>
      <c r="M3" s="9" t="s">
        <v>222</v>
      </c>
      <c r="N3" s="9" t="s">
        <v>166</v>
      </c>
      <c r="O3" s="9" t="s">
        <v>223</v>
      </c>
      <c r="P3" s="9" t="s">
        <v>168</v>
      </c>
      <c r="Q3" s="9" t="s">
        <v>224</v>
      </c>
      <c r="R3" s="9" t="s">
        <v>170</v>
      </c>
      <c r="S3" s="9" t="s">
        <v>171</v>
      </c>
      <c r="T3" s="9" t="s">
        <v>172</v>
      </c>
      <c r="U3" s="9" t="s">
        <v>173</v>
      </c>
      <c r="V3" s="9" t="s">
        <v>174</v>
      </c>
      <c r="W3" s="9" t="s">
        <v>225</v>
      </c>
      <c r="X3" s="9" t="s">
        <v>226</v>
      </c>
      <c r="Y3" s="9" t="s">
        <v>227</v>
      </c>
      <c r="Z3" s="9" t="s">
        <v>228</v>
      </c>
      <c r="AA3" s="9" t="s">
        <v>229</v>
      </c>
      <c r="AB3" s="9" t="s">
        <v>230</v>
      </c>
      <c r="AC3" s="9" t="s">
        <v>156</v>
      </c>
      <c r="AD3" s="9" t="s">
        <v>168</v>
      </c>
      <c r="AE3" s="9" t="s">
        <v>215</v>
      </c>
      <c r="AF3" s="9" t="s">
        <v>231</v>
      </c>
      <c r="AG3" s="9" t="s">
        <v>232</v>
      </c>
      <c r="AH3" s="9" t="s">
        <v>217</v>
      </c>
      <c r="AI3" s="9" t="s">
        <v>224</v>
      </c>
      <c r="AJ3" s="9" t="s">
        <v>233</v>
      </c>
      <c r="AK3" s="9" t="s">
        <v>234</v>
      </c>
      <c r="AL3" s="9" t="s">
        <v>235</v>
      </c>
      <c r="AM3" s="9" t="s">
        <v>214</v>
      </c>
      <c r="AN3" s="9" t="s">
        <v>212</v>
      </c>
      <c r="AO3" s="9" t="s">
        <v>236</v>
      </c>
      <c r="AP3" s="9" t="s">
        <v>237</v>
      </c>
      <c r="AQ3" s="9" t="s">
        <v>238</v>
      </c>
      <c r="AR3" s="9" t="s">
        <v>239</v>
      </c>
      <c r="AS3" s="9" t="s">
        <v>240</v>
      </c>
      <c r="AT3" s="9" t="s">
        <v>191</v>
      </c>
      <c r="AU3" s="9" t="s">
        <v>241</v>
      </c>
      <c r="AV3" s="9" t="s">
        <v>193</v>
      </c>
      <c r="AW3" s="9" t="s">
        <v>194</v>
      </c>
      <c r="AX3" s="9" t="s">
        <v>195</v>
      </c>
      <c r="AY3" s="9" t="s">
        <v>242</v>
      </c>
      <c r="AZ3" s="9" t="s">
        <v>243</v>
      </c>
      <c r="BA3" s="9" t="s">
        <v>244</v>
      </c>
      <c r="BB3" s="9" t="s">
        <v>199</v>
      </c>
      <c r="BC3" s="9" t="s">
        <v>200</v>
      </c>
      <c r="BD3" s="9" t="s">
        <v>201</v>
      </c>
      <c r="BE3" s="9" t="s">
        <v>202</v>
      </c>
      <c r="BF3" s="9" t="s">
        <v>245</v>
      </c>
      <c r="BG3" s="9" t="s">
        <v>246</v>
      </c>
      <c r="BH3" s="9" t="s">
        <v>205</v>
      </c>
      <c r="BI3" s="9" t="s">
        <v>247</v>
      </c>
      <c r="BJ3" s="9" t="s">
        <v>207</v>
      </c>
      <c r="BK3" s="9" t="s">
        <v>208</v>
      </c>
      <c r="BL3" s="9" t="s">
        <v>209</v>
      </c>
      <c r="BM3" s="9" t="s">
        <v>210</v>
      </c>
    </row>
    <row r="4" customFormat="false" ht="243" hidden="false" customHeight="true" outlineLevel="0" collapsed="false">
      <c r="A4" s="9" t="s">
        <v>248</v>
      </c>
      <c r="B4" s="9" t="s">
        <v>154</v>
      </c>
      <c r="C4" s="9" t="s">
        <v>155</v>
      </c>
      <c r="D4" s="9" t="s">
        <v>156</v>
      </c>
      <c r="E4" s="9" t="s">
        <v>249</v>
      </c>
      <c r="F4" s="9" t="s">
        <v>250</v>
      </c>
      <c r="G4" s="9" t="s">
        <v>251</v>
      </c>
      <c r="H4" s="9" t="s">
        <v>252</v>
      </c>
      <c r="I4" s="9" t="s">
        <v>253</v>
      </c>
      <c r="J4" s="9" t="s">
        <v>254</v>
      </c>
      <c r="K4" s="9" t="s">
        <v>255</v>
      </c>
      <c r="L4" s="9" t="s">
        <v>256</v>
      </c>
      <c r="M4" s="9" t="s">
        <v>257</v>
      </c>
      <c r="N4" s="9" t="s">
        <v>258</v>
      </c>
      <c r="O4" s="9" t="s">
        <v>259</v>
      </c>
      <c r="P4" s="9" t="s">
        <v>168</v>
      </c>
      <c r="Q4" s="9" t="s">
        <v>260</v>
      </c>
      <c r="R4" s="9" t="s">
        <v>261</v>
      </c>
      <c r="S4" s="9" t="s">
        <v>262</v>
      </c>
      <c r="T4" s="9" t="s">
        <v>172</v>
      </c>
      <c r="U4" s="9" t="s">
        <v>173</v>
      </c>
      <c r="V4" s="9" t="s">
        <v>174</v>
      </c>
      <c r="W4" s="9" t="s">
        <v>263</v>
      </c>
      <c r="X4" s="9" t="s">
        <v>264</v>
      </c>
      <c r="Y4" s="9" t="s">
        <v>265</v>
      </c>
      <c r="Z4" s="9" t="s">
        <v>266</v>
      </c>
      <c r="AA4" s="9" t="s">
        <v>267</v>
      </c>
      <c r="AB4" s="9" t="s">
        <v>230</v>
      </c>
      <c r="AC4" s="9" t="s">
        <v>156</v>
      </c>
      <c r="AD4" s="9" t="s">
        <v>168</v>
      </c>
      <c r="AE4" s="9" t="s">
        <v>268</v>
      </c>
      <c r="AF4" s="9" t="s">
        <v>269</v>
      </c>
      <c r="AG4" s="9" t="s">
        <v>270</v>
      </c>
      <c r="AH4" s="9" t="s">
        <v>271</v>
      </c>
      <c r="AI4" s="9" t="s">
        <v>260</v>
      </c>
      <c r="AJ4" s="9" t="s">
        <v>252</v>
      </c>
      <c r="AK4" s="9" t="s">
        <v>234</v>
      </c>
      <c r="AL4" s="9" t="s">
        <v>235</v>
      </c>
      <c r="AM4" s="9" t="s">
        <v>249</v>
      </c>
      <c r="AN4" s="9" t="s">
        <v>154</v>
      </c>
      <c r="AO4" s="9" t="s">
        <v>272</v>
      </c>
      <c r="AP4" s="9" t="s">
        <v>273</v>
      </c>
      <c r="AQ4" s="9" t="s">
        <v>274</v>
      </c>
      <c r="AR4" s="9" t="s">
        <v>275</v>
      </c>
      <c r="AS4" s="9" t="s">
        <v>276</v>
      </c>
      <c r="AT4" s="9" t="s">
        <v>191</v>
      </c>
      <c r="AU4" s="9" t="s">
        <v>277</v>
      </c>
      <c r="AV4" s="9" t="s">
        <v>193</v>
      </c>
      <c r="AW4" s="9" t="s">
        <v>194</v>
      </c>
      <c r="AX4" s="9" t="s">
        <v>195</v>
      </c>
      <c r="AY4" s="9" t="s">
        <v>278</v>
      </c>
      <c r="AZ4" s="9" t="s">
        <v>279</v>
      </c>
      <c r="BA4" s="9" t="s">
        <v>280</v>
      </c>
      <c r="BB4" s="9" t="s">
        <v>199</v>
      </c>
      <c r="BC4" s="9" t="s">
        <v>200</v>
      </c>
      <c r="BD4" s="9" t="s">
        <v>201</v>
      </c>
      <c r="BE4" s="9" t="s">
        <v>202</v>
      </c>
      <c r="BF4" s="9" t="s">
        <v>281</v>
      </c>
      <c r="BG4" s="9" t="s">
        <v>282</v>
      </c>
      <c r="BH4" s="9" t="s">
        <v>205</v>
      </c>
      <c r="BI4" s="9" t="s">
        <v>206</v>
      </c>
      <c r="BJ4" s="9" t="s">
        <v>207</v>
      </c>
      <c r="BK4" s="9" t="s">
        <v>208</v>
      </c>
      <c r="BL4" s="9" t="s">
        <v>209</v>
      </c>
      <c r="BM4" s="9" t="s">
        <v>210</v>
      </c>
    </row>
    <row r="5" customFormat="false" ht="216" hidden="false" customHeight="true" outlineLevel="0" collapsed="false">
      <c r="A5" s="9" t="s">
        <v>283</v>
      </c>
      <c r="B5" s="9" t="s">
        <v>212</v>
      </c>
      <c r="C5" s="9" t="s">
        <v>155</v>
      </c>
      <c r="D5" s="9" t="s">
        <v>156</v>
      </c>
      <c r="E5" s="9" t="s">
        <v>157</v>
      </c>
      <c r="F5" s="9" t="s">
        <v>284</v>
      </c>
      <c r="G5" s="9" t="s">
        <v>285</v>
      </c>
      <c r="H5" s="9" t="s">
        <v>286</v>
      </c>
      <c r="I5" s="9" t="s">
        <v>287</v>
      </c>
      <c r="J5" s="9" t="s">
        <v>254</v>
      </c>
      <c r="K5" s="9" t="s">
        <v>288</v>
      </c>
      <c r="L5" s="9" t="s">
        <v>289</v>
      </c>
      <c r="M5" s="9" t="s">
        <v>290</v>
      </c>
      <c r="N5" s="9" t="s">
        <v>291</v>
      </c>
      <c r="O5" s="9" t="s">
        <v>292</v>
      </c>
      <c r="P5" s="9" t="s">
        <v>168</v>
      </c>
      <c r="Q5" s="9" t="s">
        <v>293</v>
      </c>
      <c r="R5" s="9" t="s">
        <v>294</v>
      </c>
      <c r="S5" s="9" t="s">
        <v>262</v>
      </c>
      <c r="T5" s="9" t="s">
        <v>172</v>
      </c>
      <c r="U5" s="9" t="s">
        <v>173</v>
      </c>
      <c r="V5" s="9" t="s">
        <v>174</v>
      </c>
      <c r="W5" s="9" t="s">
        <v>295</v>
      </c>
      <c r="X5" s="9" t="s">
        <v>296</v>
      </c>
      <c r="Y5" s="9" t="s">
        <v>297</v>
      </c>
      <c r="Z5" s="9" t="s">
        <v>228</v>
      </c>
      <c r="AA5" s="9" t="s">
        <v>298</v>
      </c>
      <c r="AB5" s="9" t="s">
        <v>230</v>
      </c>
      <c r="AC5" s="9" t="s">
        <v>156</v>
      </c>
      <c r="AD5" s="9" t="s">
        <v>168</v>
      </c>
      <c r="AE5" s="9" t="s">
        <v>299</v>
      </c>
      <c r="AF5" s="9" t="s">
        <v>300</v>
      </c>
      <c r="AG5" s="9" t="s">
        <v>301</v>
      </c>
      <c r="AH5" s="9" t="s">
        <v>302</v>
      </c>
      <c r="AI5" s="9" t="s">
        <v>293</v>
      </c>
      <c r="AJ5" s="9" t="s">
        <v>286</v>
      </c>
      <c r="AK5" s="9" t="s">
        <v>234</v>
      </c>
      <c r="AL5" s="9" t="s">
        <v>235</v>
      </c>
      <c r="AM5" s="9" t="s">
        <v>157</v>
      </c>
      <c r="AN5" s="9" t="s">
        <v>212</v>
      </c>
      <c r="AO5" s="9" t="s">
        <v>303</v>
      </c>
      <c r="AP5" s="9" t="s">
        <v>304</v>
      </c>
      <c r="AQ5" s="9" t="s">
        <v>305</v>
      </c>
      <c r="AR5" s="9" t="s">
        <v>306</v>
      </c>
      <c r="AS5" s="9" t="s">
        <v>307</v>
      </c>
      <c r="AT5" s="9" t="s">
        <v>191</v>
      </c>
      <c r="AU5" s="9" t="s">
        <v>308</v>
      </c>
      <c r="AV5" s="9" t="s">
        <v>193</v>
      </c>
      <c r="AW5" s="9" t="s">
        <v>194</v>
      </c>
      <c r="AX5" s="9" t="s">
        <v>195</v>
      </c>
      <c r="AY5" s="9" t="s">
        <v>309</v>
      </c>
      <c r="AZ5" s="9" t="s">
        <v>310</v>
      </c>
      <c r="BA5" s="9" t="s">
        <v>311</v>
      </c>
      <c r="BB5" s="9" t="s">
        <v>199</v>
      </c>
      <c r="BC5" s="9" t="s">
        <v>200</v>
      </c>
      <c r="BD5" s="9" t="s">
        <v>201</v>
      </c>
      <c r="BE5" s="9" t="s">
        <v>202</v>
      </c>
      <c r="BF5" s="9" t="s">
        <v>312</v>
      </c>
      <c r="BG5" s="9" t="s">
        <v>313</v>
      </c>
      <c r="BH5" s="9" t="s">
        <v>205</v>
      </c>
      <c r="BI5" s="9" t="s">
        <v>314</v>
      </c>
      <c r="BJ5" s="9" t="s">
        <v>207</v>
      </c>
      <c r="BK5" s="9" t="s">
        <v>208</v>
      </c>
      <c r="BL5" s="9" t="s">
        <v>209</v>
      </c>
      <c r="BM5" s="9" t="s">
        <v>210</v>
      </c>
    </row>
    <row r="6" customFormat="false" ht="283.5" hidden="false" customHeight="true" outlineLevel="0" collapsed="false">
      <c r="A6" s="9" t="s">
        <v>315</v>
      </c>
      <c r="B6" s="9" t="s">
        <v>316</v>
      </c>
      <c r="C6" s="9" t="s">
        <v>213</v>
      </c>
      <c r="D6" s="9" t="s">
        <v>156</v>
      </c>
      <c r="E6" s="9" t="s">
        <v>157</v>
      </c>
      <c r="F6" s="9" t="s">
        <v>317</v>
      </c>
      <c r="G6" s="9" t="s">
        <v>318</v>
      </c>
      <c r="H6" s="9" t="s">
        <v>319</v>
      </c>
      <c r="I6" s="9" t="s">
        <v>320</v>
      </c>
      <c r="J6" s="9" t="s">
        <v>254</v>
      </c>
      <c r="K6" s="9" t="s">
        <v>321</v>
      </c>
      <c r="L6" s="9" t="s">
        <v>322</v>
      </c>
      <c r="M6" s="9" t="s">
        <v>323</v>
      </c>
      <c r="N6" s="9" t="s">
        <v>324</v>
      </c>
      <c r="O6" s="9" t="s">
        <v>259</v>
      </c>
      <c r="P6" s="9" t="s">
        <v>168</v>
      </c>
      <c r="Q6" s="9" t="s">
        <v>325</v>
      </c>
      <c r="R6" s="9" t="s">
        <v>326</v>
      </c>
      <c r="S6" s="9" t="s">
        <v>262</v>
      </c>
      <c r="T6" s="9" t="s">
        <v>172</v>
      </c>
      <c r="U6" s="9" t="s">
        <v>173</v>
      </c>
      <c r="V6" s="9" t="s">
        <v>174</v>
      </c>
      <c r="W6" s="9" t="s">
        <v>327</v>
      </c>
      <c r="X6" s="9" t="s">
        <v>328</v>
      </c>
      <c r="Y6" s="9" t="s">
        <v>329</v>
      </c>
      <c r="Z6" s="9" t="s">
        <v>228</v>
      </c>
      <c r="AA6" s="9" t="s">
        <v>330</v>
      </c>
      <c r="AB6" s="9" t="s">
        <v>331</v>
      </c>
      <c r="AC6" s="9" t="s">
        <v>156</v>
      </c>
      <c r="AD6" s="9" t="s">
        <v>168</v>
      </c>
      <c r="AE6" s="9" t="s">
        <v>332</v>
      </c>
      <c r="AF6" s="9" t="s">
        <v>333</v>
      </c>
      <c r="AG6" s="9" t="s">
        <v>334</v>
      </c>
      <c r="AH6" s="9" t="s">
        <v>319</v>
      </c>
      <c r="AI6" s="9" t="s">
        <v>325</v>
      </c>
      <c r="AJ6" s="9" t="s">
        <v>319</v>
      </c>
      <c r="AK6" s="9" t="s">
        <v>234</v>
      </c>
      <c r="AL6" s="9" t="s">
        <v>235</v>
      </c>
      <c r="AM6" s="9" t="s">
        <v>157</v>
      </c>
      <c r="AN6" s="9" t="s">
        <v>316</v>
      </c>
      <c r="AO6" s="9" t="s">
        <v>335</v>
      </c>
      <c r="AP6" s="9" t="s">
        <v>336</v>
      </c>
      <c r="AQ6" s="9" t="s">
        <v>337</v>
      </c>
      <c r="AR6" s="9" t="s">
        <v>338</v>
      </c>
      <c r="AS6" s="9" t="s">
        <v>339</v>
      </c>
      <c r="AT6" s="9" t="s">
        <v>191</v>
      </c>
      <c r="AU6" s="9" t="s">
        <v>340</v>
      </c>
      <c r="AV6" s="9" t="s">
        <v>193</v>
      </c>
      <c r="AW6" s="9" t="s">
        <v>194</v>
      </c>
      <c r="AX6" s="9" t="s">
        <v>195</v>
      </c>
      <c r="AY6" s="9" t="s">
        <v>341</v>
      </c>
      <c r="AZ6" s="9" t="s">
        <v>342</v>
      </c>
      <c r="BA6" s="9" t="s">
        <v>343</v>
      </c>
      <c r="BB6" s="9" t="s">
        <v>199</v>
      </c>
      <c r="BC6" s="9" t="s">
        <v>200</v>
      </c>
      <c r="BD6" s="9" t="s">
        <v>201</v>
      </c>
      <c r="BE6" s="9" t="s">
        <v>202</v>
      </c>
      <c r="BF6" s="9" t="s">
        <v>344</v>
      </c>
      <c r="BG6" s="9" t="s">
        <v>345</v>
      </c>
      <c r="BH6" s="9" t="s">
        <v>205</v>
      </c>
      <c r="BI6" s="9" t="s">
        <v>346</v>
      </c>
      <c r="BJ6" s="9" t="s">
        <v>207</v>
      </c>
      <c r="BK6" s="9" t="s">
        <v>208</v>
      </c>
      <c r="BL6" s="9" t="s">
        <v>209</v>
      </c>
      <c r="BM6" s="9" t="s">
        <v>210</v>
      </c>
    </row>
    <row r="7" customFormat="false" ht="243" hidden="false" customHeight="true" outlineLevel="0" collapsed="false">
      <c r="A7" s="9" t="s">
        <v>347</v>
      </c>
      <c r="B7" s="9" t="s">
        <v>316</v>
      </c>
      <c r="C7" s="9" t="s">
        <v>348</v>
      </c>
      <c r="D7" s="9" t="s">
        <v>156</v>
      </c>
      <c r="E7" s="9" t="s">
        <v>349</v>
      </c>
      <c r="F7" s="9" t="s">
        <v>350</v>
      </c>
      <c r="G7" s="9" t="s">
        <v>351</v>
      </c>
      <c r="H7" s="9" t="s">
        <v>233</v>
      </c>
      <c r="I7" s="9" t="s">
        <v>352</v>
      </c>
      <c r="J7" s="9" t="s">
        <v>254</v>
      </c>
      <c r="K7" s="9" t="s">
        <v>353</v>
      </c>
      <c r="L7" s="9" t="s">
        <v>354</v>
      </c>
      <c r="M7" s="9" t="s">
        <v>355</v>
      </c>
      <c r="N7" s="9" t="s">
        <v>356</v>
      </c>
      <c r="O7" s="9" t="s">
        <v>223</v>
      </c>
      <c r="P7" s="9" t="s">
        <v>168</v>
      </c>
      <c r="Q7" s="9" t="s">
        <v>224</v>
      </c>
      <c r="R7" s="9" t="s">
        <v>357</v>
      </c>
      <c r="S7" s="9" t="s">
        <v>262</v>
      </c>
      <c r="T7" s="9" t="s">
        <v>172</v>
      </c>
      <c r="U7" s="9" t="s">
        <v>173</v>
      </c>
      <c r="V7" s="9" t="s">
        <v>174</v>
      </c>
      <c r="W7" s="9" t="s">
        <v>225</v>
      </c>
      <c r="X7" s="9" t="s">
        <v>358</v>
      </c>
      <c r="Y7" s="9" t="s">
        <v>359</v>
      </c>
      <c r="Z7" s="9" t="s">
        <v>360</v>
      </c>
      <c r="AA7" s="9" t="s">
        <v>361</v>
      </c>
      <c r="AB7" s="9" t="s">
        <v>230</v>
      </c>
      <c r="AC7" s="9" t="s">
        <v>156</v>
      </c>
      <c r="AD7" s="9" t="s">
        <v>168</v>
      </c>
      <c r="AE7" s="9" t="s">
        <v>215</v>
      </c>
      <c r="AF7" s="9" t="s">
        <v>231</v>
      </c>
      <c r="AG7" s="9" t="s">
        <v>232</v>
      </c>
      <c r="AH7" s="9" t="s">
        <v>217</v>
      </c>
      <c r="AI7" s="9" t="s">
        <v>224</v>
      </c>
      <c r="AJ7" s="9" t="s">
        <v>233</v>
      </c>
      <c r="AK7" s="9" t="s">
        <v>184</v>
      </c>
      <c r="AL7" s="9" t="s">
        <v>362</v>
      </c>
      <c r="AM7" s="9" t="s">
        <v>349</v>
      </c>
      <c r="AN7" s="9" t="s">
        <v>316</v>
      </c>
      <c r="AO7" s="9" t="s">
        <v>363</v>
      </c>
      <c r="AP7" s="9" t="s">
        <v>364</v>
      </c>
      <c r="AQ7" s="9" t="s">
        <v>365</v>
      </c>
      <c r="AR7" s="9" t="s">
        <v>366</v>
      </c>
      <c r="AS7" s="9" t="s">
        <v>367</v>
      </c>
      <c r="AT7" s="9" t="s">
        <v>191</v>
      </c>
      <c r="AU7" s="9" t="s">
        <v>368</v>
      </c>
      <c r="AV7" s="9" t="s">
        <v>193</v>
      </c>
      <c r="AW7" s="9" t="s">
        <v>194</v>
      </c>
      <c r="AX7" s="9" t="s">
        <v>195</v>
      </c>
      <c r="AY7" s="9" t="s">
        <v>369</v>
      </c>
      <c r="AZ7" s="9" t="s">
        <v>370</v>
      </c>
      <c r="BA7" s="9" t="s">
        <v>371</v>
      </c>
      <c r="BB7" s="9" t="s">
        <v>199</v>
      </c>
      <c r="BC7" s="9" t="s">
        <v>200</v>
      </c>
      <c r="BD7" s="9" t="s">
        <v>201</v>
      </c>
      <c r="BE7" s="9" t="s">
        <v>202</v>
      </c>
      <c r="BF7" s="9" t="s">
        <v>372</v>
      </c>
      <c r="BG7" s="9" t="s">
        <v>373</v>
      </c>
      <c r="BH7" s="9" t="s">
        <v>205</v>
      </c>
      <c r="BI7" s="9" t="s">
        <v>374</v>
      </c>
      <c r="BJ7" s="9" t="s">
        <v>207</v>
      </c>
      <c r="BK7" s="9" t="s">
        <v>208</v>
      </c>
      <c r="BL7" s="9" t="s">
        <v>209</v>
      </c>
      <c r="BM7" s="9" t="s">
        <v>210</v>
      </c>
    </row>
    <row r="8" customFormat="false" ht="216" hidden="false" customHeight="true" outlineLevel="0" collapsed="false">
      <c r="A8" s="9" t="s">
        <v>375</v>
      </c>
      <c r="B8" s="9" t="s">
        <v>212</v>
      </c>
      <c r="C8" s="9" t="s">
        <v>348</v>
      </c>
      <c r="D8" s="9" t="s">
        <v>156</v>
      </c>
      <c r="E8" s="9" t="s">
        <v>376</v>
      </c>
      <c r="F8" s="9" t="s">
        <v>377</v>
      </c>
      <c r="G8" s="9" t="s">
        <v>378</v>
      </c>
      <c r="H8" s="9" t="s">
        <v>379</v>
      </c>
      <c r="I8" s="9" t="s">
        <v>380</v>
      </c>
      <c r="J8" s="9" t="s">
        <v>254</v>
      </c>
      <c r="K8" s="9" t="s">
        <v>381</v>
      </c>
      <c r="L8" s="9" t="s">
        <v>382</v>
      </c>
      <c r="M8" s="9" t="s">
        <v>383</v>
      </c>
      <c r="N8" s="9" t="s">
        <v>384</v>
      </c>
      <c r="O8" s="9" t="s">
        <v>292</v>
      </c>
      <c r="P8" s="9" t="s">
        <v>168</v>
      </c>
      <c r="Q8" s="9" t="s">
        <v>385</v>
      </c>
      <c r="R8" s="9" t="s">
        <v>386</v>
      </c>
      <c r="S8" s="9" t="s">
        <v>262</v>
      </c>
      <c r="T8" s="9" t="s">
        <v>172</v>
      </c>
      <c r="U8" s="9" t="s">
        <v>173</v>
      </c>
      <c r="V8" s="9" t="s">
        <v>174</v>
      </c>
      <c r="W8" s="9" t="s">
        <v>387</v>
      </c>
      <c r="X8" s="9" t="s">
        <v>388</v>
      </c>
      <c r="Y8" s="9" t="s">
        <v>389</v>
      </c>
      <c r="Z8" s="9" t="s">
        <v>228</v>
      </c>
      <c r="AA8" s="9" t="s">
        <v>390</v>
      </c>
      <c r="AB8" s="9" t="s">
        <v>180</v>
      </c>
      <c r="AC8" s="9" t="s">
        <v>156</v>
      </c>
      <c r="AD8" s="9" t="s">
        <v>168</v>
      </c>
      <c r="AE8" s="9" t="s">
        <v>158</v>
      </c>
      <c r="AF8" s="9" t="s">
        <v>181</v>
      </c>
      <c r="AG8" s="9" t="s">
        <v>182</v>
      </c>
      <c r="AH8" s="9" t="s">
        <v>160</v>
      </c>
      <c r="AI8" s="9" t="s">
        <v>385</v>
      </c>
      <c r="AJ8" s="9" t="s">
        <v>379</v>
      </c>
      <c r="AK8" s="9" t="s">
        <v>234</v>
      </c>
      <c r="AL8" s="9" t="s">
        <v>235</v>
      </c>
      <c r="AM8" s="9" t="s">
        <v>376</v>
      </c>
      <c r="AN8" s="9" t="s">
        <v>212</v>
      </c>
      <c r="AO8" s="9" t="s">
        <v>391</v>
      </c>
      <c r="AP8" s="9" t="s">
        <v>392</v>
      </c>
      <c r="AQ8" s="9" t="s">
        <v>393</v>
      </c>
      <c r="AR8" s="9" t="s">
        <v>394</v>
      </c>
      <c r="AS8" s="9" t="s">
        <v>395</v>
      </c>
      <c r="AT8" s="9" t="s">
        <v>191</v>
      </c>
      <c r="AU8" s="9" t="s">
        <v>396</v>
      </c>
      <c r="AV8" s="9" t="s">
        <v>193</v>
      </c>
      <c r="AW8" s="9" t="s">
        <v>194</v>
      </c>
      <c r="AX8" s="9" t="s">
        <v>195</v>
      </c>
      <c r="AY8" s="9" t="s">
        <v>397</v>
      </c>
      <c r="AZ8" s="9" t="s">
        <v>398</v>
      </c>
      <c r="BA8" s="9" t="s">
        <v>399</v>
      </c>
      <c r="BB8" s="9" t="s">
        <v>199</v>
      </c>
      <c r="BC8" s="9" t="s">
        <v>200</v>
      </c>
      <c r="BD8" s="9" t="s">
        <v>201</v>
      </c>
      <c r="BE8" s="9" t="s">
        <v>202</v>
      </c>
      <c r="BF8" s="9" t="s">
        <v>400</v>
      </c>
      <c r="BG8" s="9" t="s">
        <v>401</v>
      </c>
      <c r="BH8" s="9" t="s">
        <v>205</v>
      </c>
      <c r="BI8" s="9" t="s">
        <v>206</v>
      </c>
      <c r="BJ8" s="9" t="s">
        <v>207</v>
      </c>
      <c r="BK8" s="9" t="s">
        <v>208</v>
      </c>
      <c r="BL8" s="9" t="s">
        <v>209</v>
      </c>
      <c r="BM8" s="9" t="s">
        <v>210</v>
      </c>
    </row>
    <row r="9" customFormat="false" ht="256.5" hidden="false" customHeight="true" outlineLevel="0" collapsed="false">
      <c r="A9" s="9" t="s">
        <v>402</v>
      </c>
      <c r="B9" s="9" t="s">
        <v>316</v>
      </c>
      <c r="C9" s="9" t="s">
        <v>403</v>
      </c>
      <c r="D9" s="9" t="s">
        <v>156</v>
      </c>
      <c r="E9" s="9" t="s">
        <v>404</v>
      </c>
      <c r="F9" s="9" t="s">
        <v>405</v>
      </c>
      <c r="G9" s="9" t="s">
        <v>406</v>
      </c>
      <c r="H9" s="9" t="s">
        <v>407</v>
      </c>
      <c r="I9" s="9" t="s">
        <v>408</v>
      </c>
      <c r="J9" s="9" t="s">
        <v>254</v>
      </c>
      <c r="K9" s="9" t="s">
        <v>409</v>
      </c>
      <c r="L9" s="9" t="s">
        <v>410</v>
      </c>
      <c r="M9" s="9" t="s">
        <v>411</v>
      </c>
      <c r="N9" s="9" t="s">
        <v>412</v>
      </c>
      <c r="O9" s="9" t="s">
        <v>413</v>
      </c>
      <c r="P9" s="9" t="s">
        <v>168</v>
      </c>
      <c r="Q9" s="9" t="s">
        <v>414</v>
      </c>
      <c r="R9" s="9" t="s">
        <v>415</v>
      </c>
      <c r="S9" s="9" t="s">
        <v>262</v>
      </c>
      <c r="T9" s="9" t="s">
        <v>172</v>
      </c>
      <c r="U9" s="9" t="s">
        <v>173</v>
      </c>
      <c r="V9" s="9" t="s">
        <v>174</v>
      </c>
      <c r="W9" s="9" t="s">
        <v>295</v>
      </c>
      <c r="X9" s="9" t="s">
        <v>416</v>
      </c>
      <c r="Y9" s="9" t="s">
        <v>417</v>
      </c>
      <c r="Z9" s="9" t="s">
        <v>418</v>
      </c>
      <c r="AA9" s="9" t="s">
        <v>419</v>
      </c>
      <c r="AB9" s="9" t="s">
        <v>331</v>
      </c>
      <c r="AC9" s="9" t="s">
        <v>156</v>
      </c>
      <c r="AD9" s="9" t="s">
        <v>168</v>
      </c>
      <c r="AE9" s="9" t="s">
        <v>420</v>
      </c>
      <c r="AF9" s="9" t="s">
        <v>421</v>
      </c>
      <c r="AG9" s="9" t="s">
        <v>422</v>
      </c>
      <c r="AH9" s="9" t="s">
        <v>423</v>
      </c>
      <c r="AI9" s="9" t="s">
        <v>414</v>
      </c>
      <c r="AJ9" s="9" t="s">
        <v>407</v>
      </c>
      <c r="AK9" s="9" t="s">
        <v>234</v>
      </c>
      <c r="AL9" s="9" t="s">
        <v>235</v>
      </c>
      <c r="AM9" s="9" t="s">
        <v>404</v>
      </c>
      <c r="AN9" s="9" t="s">
        <v>316</v>
      </c>
      <c r="AO9" s="9" t="s">
        <v>424</v>
      </c>
      <c r="AP9" s="9" t="s">
        <v>425</v>
      </c>
      <c r="AQ9" s="9" t="s">
        <v>426</v>
      </c>
      <c r="AR9" s="9" t="s">
        <v>427</v>
      </c>
      <c r="AS9" s="9" t="s">
        <v>428</v>
      </c>
      <c r="AT9" s="9" t="s">
        <v>191</v>
      </c>
      <c r="AU9" s="9" t="s">
        <v>429</v>
      </c>
      <c r="AV9" s="9" t="s">
        <v>193</v>
      </c>
      <c r="AW9" s="9" t="s">
        <v>194</v>
      </c>
      <c r="AX9" s="9" t="s">
        <v>195</v>
      </c>
      <c r="AY9" s="9" t="s">
        <v>430</v>
      </c>
      <c r="AZ9" s="9" t="s">
        <v>431</v>
      </c>
      <c r="BA9" s="9" t="s">
        <v>432</v>
      </c>
      <c r="BB9" s="9" t="s">
        <v>199</v>
      </c>
      <c r="BC9" s="9" t="s">
        <v>200</v>
      </c>
      <c r="BD9" s="9" t="s">
        <v>201</v>
      </c>
      <c r="BE9" s="9" t="s">
        <v>202</v>
      </c>
      <c r="BF9" s="9" t="s">
        <v>433</v>
      </c>
      <c r="BG9" s="9" t="s">
        <v>434</v>
      </c>
      <c r="BH9" s="9" t="s">
        <v>205</v>
      </c>
      <c r="BI9" s="9" t="s">
        <v>314</v>
      </c>
      <c r="BJ9" s="9" t="s">
        <v>207</v>
      </c>
      <c r="BK9" s="9" t="s">
        <v>208</v>
      </c>
      <c r="BL9" s="9" t="s">
        <v>209</v>
      </c>
      <c r="BM9" s="9" t="s">
        <v>210</v>
      </c>
    </row>
    <row r="10" customFormat="false" ht="216" hidden="false" customHeight="true" outlineLevel="0" collapsed="false">
      <c r="A10" s="9" t="s">
        <v>435</v>
      </c>
      <c r="B10" s="9" t="s">
        <v>316</v>
      </c>
      <c r="C10" s="9" t="s">
        <v>213</v>
      </c>
      <c r="D10" s="9" t="s">
        <v>156</v>
      </c>
      <c r="E10" s="9" t="s">
        <v>404</v>
      </c>
      <c r="F10" s="9" t="s">
        <v>436</v>
      </c>
      <c r="G10" s="9" t="s">
        <v>437</v>
      </c>
      <c r="H10" s="9" t="s">
        <v>438</v>
      </c>
      <c r="I10" s="9" t="s">
        <v>439</v>
      </c>
      <c r="J10" s="9" t="s">
        <v>254</v>
      </c>
      <c r="K10" s="9" t="s">
        <v>440</v>
      </c>
      <c r="L10" s="9" t="s">
        <v>441</v>
      </c>
      <c r="M10" s="9" t="s">
        <v>442</v>
      </c>
      <c r="N10" s="9" t="s">
        <v>443</v>
      </c>
      <c r="O10" s="9" t="s">
        <v>292</v>
      </c>
      <c r="P10" s="9" t="s">
        <v>168</v>
      </c>
      <c r="Q10" s="9" t="s">
        <v>444</v>
      </c>
      <c r="R10" s="9" t="s">
        <v>445</v>
      </c>
      <c r="S10" s="9" t="s">
        <v>262</v>
      </c>
      <c r="T10" s="9" t="s">
        <v>172</v>
      </c>
      <c r="U10" s="9" t="s">
        <v>173</v>
      </c>
      <c r="V10" s="9" t="s">
        <v>174</v>
      </c>
      <c r="W10" s="9" t="s">
        <v>446</v>
      </c>
      <c r="X10" s="9" t="s">
        <v>447</v>
      </c>
      <c r="Y10" s="9" t="s">
        <v>448</v>
      </c>
      <c r="Z10" s="9" t="s">
        <v>228</v>
      </c>
      <c r="AA10" s="9" t="s">
        <v>449</v>
      </c>
      <c r="AB10" s="9" t="s">
        <v>331</v>
      </c>
      <c r="AC10" s="9" t="s">
        <v>156</v>
      </c>
      <c r="AD10" s="9" t="s">
        <v>168</v>
      </c>
      <c r="AE10" s="9" t="s">
        <v>158</v>
      </c>
      <c r="AF10" s="9" t="s">
        <v>450</v>
      </c>
      <c r="AG10" s="9" t="s">
        <v>451</v>
      </c>
      <c r="AH10" s="9" t="s">
        <v>452</v>
      </c>
      <c r="AI10" s="9" t="s">
        <v>444</v>
      </c>
      <c r="AJ10" s="9" t="s">
        <v>438</v>
      </c>
      <c r="AK10" s="9" t="s">
        <v>234</v>
      </c>
      <c r="AL10" s="9" t="s">
        <v>235</v>
      </c>
      <c r="AM10" s="9" t="s">
        <v>404</v>
      </c>
      <c r="AN10" s="9" t="s">
        <v>316</v>
      </c>
      <c r="AO10" s="9" t="s">
        <v>453</v>
      </c>
      <c r="AP10" s="9" t="s">
        <v>454</v>
      </c>
      <c r="AQ10" s="9" t="s">
        <v>455</v>
      </c>
      <c r="AR10" s="9" t="s">
        <v>456</v>
      </c>
      <c r="AS10" s="9" t="s">
        <v>457</v>
      </c>
      <c r="AT10" s="9" t="s">
        <v>191</v>
      </c>
      <c r="AU10" s="9" t="s">
        <v>458</v>
      </c>
      <c r="AV10" s="9" t="s">
        <v>193</v>
      </c>
      <c r="AW10" s="9" t="s">
        <v>194</v>
      </c>
      <c r="AX10" s="9" t="s">
        <v>195</v>
      </c>
      <c r="AY10" s="9" t="s">
        <v>459</v>
      </c>
      <c r="AZ10" s="9" t="s">
        <v>460</v>
      </c>
      <c r="BA10" s="9" t="s">
        <v>461</v>
      </c>
      <c r="BB10" s="9" t="s">
        <v>199</v>
      </c>
      <c r="BC10" s="9" t="s">
        <v>200</v>
      </c>
      <c r="BD10" s="9" t="s">
        <v>201</v>
      </c>
      <c r="BE10" s="9" t="s">
        <v>202</v>
      </c>
      <c r="BF10" s="9" t="s">
        <v>462</v>
      </c>
      <c r="BG10" s="9" t="s">
        <v>463</v>
      </c>
      <c r="BH10" s="9" t="s">
        <v>205</v>
      </c>
      <c r="BI10" s="9" t="s">
        <v>464</v>
      </c>
      <c r="BJ10" s="9" t="s">
        <v>207</v>
      </c>
      <c r="BK10" s="9" t="s">
        <v>208</v>
      </c>
      <c r="BL10" s="9" t="s">
        <v>209</v>
      </c>
      <c r="BM10" s="9" t="s">
        <v>210</v>
      </c>
    </row>
    <row r="11" customFormat="false" ht="216" hidden="false" customHeight="true" outlineLevel="0" collapsed="false">
      <c r="A11" s="9" t="s">
        <v>465</v>
      </c>
      <c r="B11" s="9" t="s">
        <v>316</v>
      </c>
      <c r="C11" s="9" t="s">
        <v>403</v>
      </c>
      <c r="D11" s="9" t="s">
        <v>156</v>
      </c>
      <c r="E11" s="9" t="s">
        <v>249</v>
      </c>
      <c r="F11" s="9" t="s">
        <v>466</v>
      </c>
      <c r="G11" s="9" t="s">
        <v>467</v>
      </c>
      <c r="H11" s="9" t="s">
        <v>468</v>
      </c>
      <c r="I11" s="9" t="s">
        <v>469</v>
      </c>
      <c r="J11" s="9" t="s">
        <v>254</v>
      </c>
      <c r="K11" s="9" t="s">
        <v>470</v>
      </c>
      <c r="L11" s="9" t="s">
        <v>471</v>
      </c>
      <c r="M11" s="9" t="s">
        <v>472</v>
      </c>
      <c r="N11" s="9" t="s">
        <v>473</v>
      </c>
      <c r="O11" s="9" t="s">
        <v>413</v>
      </c>
      <c r="P11" s="9" t="s">
        <v>168</v>
      </c>
      <c r="Q11" s="9" t="s">
        <v>474</v>
      </c>
      <c r="R11" s="9" t="s">
        <v>475</v>
      </c>
      <c r="S11" s="9" t="s">
        <v>262</v>
      </c>
      <c r="T11" s="9" t="s">
        <v>172</v>
      </c>
      <c r="U11" s="9" t="s">
        <v>173</v>
      </c>
      <c r="V11" s="9" t="s">
        <v>174</v>
      </c>
      <c r="W11" s="9" t="s">
        <v>476</v>
      </c>
      <c r="X11" s="9" t="s">
        <v>477</v>
      </c>
      <c r="Y11" s="9" t="s">
        <v>478</v>
      </c>
      <c r="Z11" s="9" t="s">
        <v>228</v>
      </c>
      <c r="AA11" s="9" t="s">
        <v>479</v>
      </c>
      <c r="AB11" s="9" t="s">
        <v>180</v>
      </c>
      <c r="AC11" s="9" t="s">
        <v>156</v>
      </c>
      <c r="AD11" s="9" t="s">
        <v>168</v>
      </c>
      <c r="AE11" s="9" t="s">
        <v>466</v>
      </c>
      <c r="AF11" s="9" t="s">
        <v>480</v>
      </c>
      <c r="AG11" s="9" t="s">
        <v>481</v>
      </c>
      <c r="AH11" s="9" t="s">
        <v>481</v>
      </c>
      <c r="AI11" s="9" t="s">
        <v>474</v>
      </c>
      <c r="AJ11" s="9" t="s">
        <v>468</v>
      </c>
      <c r="AK11" s="9" t="s">
        <v>482</v>
      </c>
      <c r="AL11" s="9" t="s">
        <v>483</v>
      </c>
      <c r="AM11" s="9" t="s">
        <v>249</v>
      </c>
      <c r="AN11" s="9" t="s">
        <v>316</v>
      </c>
      <c r="AO11" s="9" t="s">
        <v>484</v>
      </c>
      <c r="AP11" s="9" t="s">
        <v>485</v>
      </c>
      <c r="AQ11" s="9" t="s">
        <v>486</v>
      </c>
      <c r="AR11" s="9" t="s">
        <v>487</v>
      </c>
      <c r="AS11" s="9" t="s">
        <v>488</v>
      </c>
      <c r="AT11" s="9" t="s">
        <v>191</v>
      </c>
      <c r="AU11" s="9" t="s">
        <v>489</v>
      </c>
      <c r="AV11" s="9" t="s">
        <v>193</v>
      </c>
      <c r="AW11" s="9" t="s">
        <v>194</v>
      </c>
      <c r="AX11" s="9" t="s">
        <v>195</v>
      </c>
      <c r="AY11" s="9" t="s">
        <v>490</v>
      </c>
      <c r="AZ11" s="9" t="s">
        <v>491</v>
      </c>
      <c r="BA11" s="9" t="s">
        <v>492</v>
      </c>
      <c r="BB11" s="9" t="s">
        <v>199</v>
      </c>
      <c r="BC11" s="9" t="s">
        <v>200</v>
      </c>
      <c r="BD11" s="9" t="s">
        <v>201</v>
      </c>
      <c r="BE11" s="9" t="s">
        <v>202</v>
      </c>
      <c r="BF11" s="9" t="s">
        <v>493</v>
      </c>
      <c r="BG11" s="9" t="s">
        <v>494</v>
      </c>
      <c r="BH11" s="9" t="s">
        <v>205</v>
      </c>
      <c r="BI11" s="9" t="s">
        <v>314</v>
      </c>
      <c r="BJ11" s="9" t="s">
        <v>207</v>
      </c>
      <c r="BK11" s="9" t="s">
        <v>208</v>
      </c>
      <c r="BL11" s="9" t="s">
        <v>209</v>
      </c>
      <c r="BM11" s="9" t="s">
        <v>210</v>
      </c>
    </row>
    <row r="12" customFormat="false" ht="229.5" hidden="false" customHeight="true" outlineLevel="0" collapsed="false">
      <c r="A12" s="9" t="s">
        <v>495</v>
      </c>
      <c r="B12" s="9" t="s">
        <v>212</v>
      </c>
      <c r="C12" s="9" t="s">
        <v>348</v>
      </c>
      <c r="D12" s="9" t="s">
        <v>156</v>
      </c>
      <c r="E12" s="9" t="s">
        <v>376</v>
      </c>
      <c r="F12" s="9" t="s">
        <v>496</v>
      </c>
      <c r="G12" s="9" t="s">
        <v>497</v>
      </c>
      <c r="H12" s="9" t="s">
        <v>498</v>
      </c>
      <c r="I12" s="9" t="s">
        <v>499</v>
      </c>
      <c r="J12" s="9" t="s">
        <v>254</v>
      </c>
      <c r="K12" s="9" t="s">
        <v>500</v>
      </c>
      <c r="L12" s="9" t="s">
        <v>501</v>
      </c>
      <c r="M12" s="9" t="s">
        <v>502</v>
      </c>
      <c r="N12" s="9" t="s">
        <v>503</v>
      </c>
      <c r="O12" s="9" t="s">
        <v>292</v>
      </c>
      <c r="P12" s="9" t="s">
        <v>168</v>
      </c>
      <c r="Q12" s="9" t="s">
        <v>504</v>
      </c>
      <c r="R12" s="9" t="s">
        <v>505</v>
      </c>
      <c r="S12" s="9" t="s">
        <v>262</v>
      </c>
      <c r="T12" s="9" t="s">
        <v>172</v>
      </c>
      <c r="U12" s="9" t="s">
        <v>173</v>
      </c>
      <c r="V12" s="9" t="s">
        <v>174</v>
      </c>
      <c r="W12" s="9" t="s">
        <v>506</v>
      </c>
      <c r="X12" s="9" t="s">
        <v>507</v>
      </c>
      <c r="Y12" s="9" t="s">
        <v>508</v>
      </c>
      <c r="Z12" s="9" t="s">
        <v>509</v>
      </c>
      <c r="AA12" s="9" t="s">
        <v>361</v>
      </c>
      <c r="AB12" s="9" t="s">
        <v>230</v>
      </c>
      <c r="AC12" s="9" t="s">
        <v>156</v>
      </c>
      <c r="AD12" s="9" t="s">
        <v>168</v>
      </c>
      <c r="AE12" s="9" t="s">
        <v>496</v>
      </c>
      <c r="AF12" s="9" t="s">
        <v>480</v>
      </c>
      <c r="AG12" s="9" t="s">
        <v>481</v>
      </c>
      <c r="AH12" s="9" t="s">
        <v>481</v>
      </c>
      <c r="AI12" s="9" t="s">
        <v>504</v>
      </c>
      <c r="AJ12" s="9" t="s">
        <v>498</v>
      </c>
      <c r="AK12" s="9" t="s">
        <v>482</v>
      </c>
      <c r="AL12" s="9" t="s">
        <v>483</v>
      </c>
      <c r="AM12" s="9" t="s">
        <v>376</v>
      </c>
      <c r="AN12" s="9" t="s">
        <v>212</v>
      </c>
      <c r="AO12" s="9" t="s">
        <v>510</v>
      </c>
      <c r="AP12" s="9" t="s">
        <v>511</v>
      </c>
      <c r="AQ12" s="9" t="s">
        <v>512</v>
      </c>
      <c r="AR12" s="9" t="s">
        <v>513</v>
      </c>
      <c r="AS12" s="9" t="s">
        <v>514</v>
      </c>
      <c r="AT12" s="9" t="s">
        <v>191</v>
      </c>
      <c r="AU12" s="9" t="s">
        <v>515</v>
      </c>
      <c r="AV12" s="9" t="s">
        <v>193</v>
      </c>
      <c r="AW12" s="9" t="s">
        <v>194</v>
      </c>
      <c r="AX12" s="9" t="s">
        <v>195</v>
      </c>
      <c r="AY12" s="9" t="s">
        <v>516</v>
      </c>
      <c r="AZ12" s="9" t="s">
        <v>517</v>
      </c>
      <c r="BA12" s="9" t="s">
        <v>518</v>
      </c>
      <c r="BB12" s="9" t="s">
        <v>199</v>
      </c>
      <c r="BC12" s="9" t="s">
        <v>200</v>
      </c>
      <c r="BD12" s="9" t="s">
        <v>201</v>
      </c>
      <c r="BE12" s="9" t="s">
        <v>202</v>
      </c>
      <c r="BF12" s="9" t="s">
        <v>519</v>
      </c>
      <c r="BG12" s="9" t="s">
        <v>520</v>
      </c>
      <c r="BH12" s="9" t="s">
        <v>205</v>
      </c>
      <c r="BI12" s="9" t="s">
        <v>521</v>
      </c>
      <c r="BJ12" s="9" t="s">
        <v>207</v>
      </c>
      <c r="BK12" s="9" t="s">
        <v>208</v>
      </c>
      <c r="BL12" s="9" t="s">
        <v>209</v>
      </c>
      <c r="BM12" s="9" t="s">
        <v>210</v>
      </c>
    </row>
    <row r="13" customFormat="false" ht="229.5" hidden="false" customHeight="true" outlineLevel="0" collapsed="false">
      <c r="A13" s="9" t="s">
        <v>522</v>
      </c>
      <c r="B13" s="9" t="s">
        <v>154</v>
      </c>
      <c r="C13" s="9" t="s">
        <v>403</v>
      </c>
      <c r="D13" s="9" t="s">
        <v>156</v>
      </c>
      <c r="E13" s="9" t="s">
        <v>249</v>
      </c>
      <c r="F13" s="9" t="s">
        <v>523</v>
      </c>
      <c r="G13" s="9" t="s">
        <v>524</v>
      </c>
      <c r="H13" s="9" t="s">
        <v>525</v>
      </c>
      <c r="I13" s="9" t="s">
        <v>526</v>
      </c>
      <c r="J13" s="9" t="s">
        <v>254</v>
      </c>
      <c r="K13" s="9" t="s">
        <v>527</v>
      </c>
      <c r="L13" s="9" t="s">
        <v>528</v>
      </c>
      <c r="M13" s="9" t="s">
        <v>529</v>
      </c>
      <c r="N13" s="9" t="s">
        <v>530</v>
      </c>
      <c r="O13" s="9" t="s">
        <v>531</v>
      </c>
      <c r="P13" s="9" t="s">
        <v>168</v>
      </c>
      <c r="Q13" s="9" t="s">
        <v>532</v>
      </c>
      <c r="R13" s="9" t="s">
        <v>533</v>
      </c>
      <c r="S13" s="9" t="s">
        <v>262</v>
      </c>
      <c r="T13" s="9" t="s">
        <v>172</v>
      </c>
      <c r="U13" s="9" t="s">
        <v>173</v>
      </c>
      <c r="V13" s="9" t="s">
        <v>174</v>
      </c>
      <c r="W13" s="9" t="s">
        <v>534</v>
      </c>
      <c r="X13" s="9" t="s">
        <v>535</v>
      </c>
      <c r="Y13" s="9" t="s">
        <v>536</v>
      </c>
      <c r="Z13" s="9" t="s">
        <v>537</v>
      </c>
      <c r="AA13" s="9" t="s">
        <v>538</v>
      </c>
      <c r="AB13" s="9" t="s">
        <v>331</v>
      </c>
      <c r="AC13" s="9" t="s">
        <v>156</v>
      </c>
      <c r="AD13" s="9" t="s">
        <v>168</v>
      </c>
      <c r="AE13" s="9" t="s">
        <v>523</v>
      </c>
      <c r="AF13" s="9" t="s">
        <v>480</v>
      </c>
      <c r="AG13" s="9" t="s">
        <v>481</v>
      </c>
      <c r="AH13" s="9" t="s">
        <v>481</v>
      </c>
      <c r="AI13" s="9" t="s">
        <v>532</v>
      </c>
      <c r="AJ13" s="9" t="s">
        <v>525</v>
      </c>
      <c r="AK13" s="9" t="s">
        <v>482</v>
      </c>
      <c r="AL13" s="9" t="s">
        <v>483</v>
      </c>
      <c r="AM13" s="9" t="s">
        <v>249</v>
      </c>
      <c r="AN13" s="9" t="s">
        <v>154</v>
      </c>
      <c r="AO13" s="9" t="s">
        <v>539</v>
      </c>
      <c r="AP13" s="9" t="s">
        <v>540</v>
      </c>
      <c r="AQ13" s="9" t="s">
        <v>541</v>
      </c>
      <c r="AR13" s="9" t="s">
        <v>542</v>
      </c>
      <c r="AS13" s="9" t="s">
        <v>543</v>
      </c>
      <c r="AT13" s="9" t="s">
        <v>191</v>
      </c>
      <c r="AU13" s="9" t="s">
        <v>544</v>
      </c>
      <c r="AV13" s="9" t="s">
        <v>193</v>
      </c>
      <c r="AW13" s="9" t="s">
        <v>194</v>
      </c>
      <c r="AX13" s="9" t="s">
        <v>195</v>
      </c>
      <c r="AY13" s="9" t="s">
        <v>545</v>
      </c>
      <c r="AZ13" s="9" t="s">
        <v>546</v>
      </c>
      <c r="BA13" s="9" t="s">
        <v>547</v>
      </c>
      <c r="BB13" s="9" t="s">
        <v>199</v>
      </c>
      <c r="BC13" s="9" t="s">
        <v>200</v>
      </c>
      <c r="BD13" s="9" t="s">
        <v>201</v>
      </c>
      <c r="BE13" s="9" t="s">
        <v>202</v>
      </c>
      <c r="BF13" s="9" t="s">
        <v>548</v>
      </c>
      <c r="BG13" s="9" t="s">
        <v>549</v>
      </c>
      <c r="BH13" s="9" t="s">
        <v>205</v>
      </c>
      <c r="BI13" s="9" t="s">
        <v>550</v>
      </c>
      <c r="BJ13" s="9" t="s">
        <v>207</v>
      </c>
      <c r="BK13" s="9" t="s">
        <v>208</v>
      </c>
      <c r="BL13" s="9" t="s">
        <v>209</v>
      </c>
      <c r="BM13" s="9" t="s">
        <v>210</v>
      </c>
    </row>
    <row r="14" customFormat="false" ht="229.5" hidden="false" customHeight="true" outlineLevel="0" collapsed="false">
      <c r="A14" s="9" t="s">
        <v>551</v>
      </c>
      <c r="B14" s="9" t="s">
        <v>316</v>
      </c>
      <c r="C14" s="9" t="s">
        <v>348</v>
      </c>
      <c r="D14" s="9" t="s">
        <v>156</v>
      </c>
      <c r="E14" s="9" t="s">
        <v>376</v>
      </c>
      <c r="F14" s="9" t="s">
        <v>332</v>
      </c>
      <c r="G14" s="9" t="s">
        <v>552</v>
      </c>
      <c r="H14" s="9"/>
      <c r="I14" s="9" t="s">
        <v>553</v>
      </c>
      <c r="J14" s="9" t="s">
        <v>554</v>
      </c>
      <c r="K14" s="9" t="s">
        <v>555</v>
      </c>
      <c r="L14" s="9" t="s">
        <v>556</v>
      </c>
      <c r="M14" s="9" t="s">
        <v>557</v>
      </c>
      <c r="N14" s="9" t="s">
        <v>558</v>
      </c>
      <c r="O14" s="9" t="s">
        <v>167</v>
      </c>
      <c r="P14" s="9" t="s">
        <v>168</v>
      </c>
      <c r="Q14" s="9" t="s">
        <v>559</v>
      </c>
      <c r="R14" s="9" t="s">
        <v>560</v>
      </c>
      <c r="S14" s="9" t="s">
        <v>561</v>
      </c>
      <c r="T14" s="9" t="s">
        <v>562</v>
      </c>
      <c r="U14" s="9" t="s">
        <v>173</v>
      </c>
      <c r="V14" s="9" t="s">
        <v>174</v>
      </c>
      <c r="W14" s="9" t="s">
        <v>295</v>
      </c>
      <c r="X14" s="9" t="s">
        <v>552</v>
      </c>
      <c r="Y14" s="9" t="s">
        <v>563</v>
      </c>
      <c r="Z14" s="9" t="s">
        <v>228</v>
      </c>
      <c r="AA14" s="9" t="s">
        <v>564</v>
      </c>
      <c r="AB14" s="9" t="s">
        <v>230</v>
      </c>
      <c r="AC14" s="9" t="s">
        <v>156</v>
      </c>
      <c r="AD14" s="9" t="s">
        <v>168</v>
      </c>
      <c r="AE14" s="9" t="s">
        <v>332</v>
      </c>
      <c r="AF14" s="9" t="s">
        <v>565</v>
      </c>
      <c r="AG14" s="9" t="s">
        <v>566</v>
      </c>
      <c r="AH14" s="9" t="s">
        <v>567</v>
      </c>
      <c r="AI14" s="9" t="s">
        <v>293</v>
      </c>
      <c r="AJ14" s="9" t="s">
        <v>286</v>
      </c>
      <c r="AK14" s="9" t="s">
        <v>184</v>
      </c>
      <c r="AL14" s="9" t="s">
        <v>568</v>
      </c>
      <c r="AM14" s="9" t="s">
        <v>376</v>
      </c>
      <c r="AN14" s="9" t="s">
        <v>316</v>
      </c>
      <c r="AO14" s="9" t="s">
        <v>569</v>
      </c>
      <c r="AP14" s="9" t="s">
        <v>570</v>
      </c>
      <c r="AQ14" s="9" t="s">
        <v>571</v>
      </c>
      <c r="AR14" s="9" t="s">
        <v>554</v>
      </c>
      <c r="AS14" s="9" t="s">
        <v>555</v>
      </c>
      <c r="AT14" s="9" t="s">
        <v>191</v>
      </c>
      <c r="AU14" s="9" t="s">
        <v>556</v>
      </c>
      <c r="AV14" s="9" t="s">
        <v>193</v>
      </c>
      <c r="AW14" s="9" t="s">
        <v>194</v>
      </c>
      <c r="AX14" s="9" t="s">
        <v>195</v>
      </c>
      <c r="AY14" s="9" t="s">
        <v>572</v>
      </c>
      <c r="AZ14" s="9" t="s">
        <v>573</v>
      </c>
      <c r="BA14" s="9" t="s">
        <v>574</v>
      </c>
      <c r="BB14" s="9" t="s">
        <v>199</v>
      </c>
      <c r="BC14" s="9" t="s">
        <v>200</v>
      </c>
      <c r="BD14" s="9" t="s">
        <v>201</v>
      </c>
      <c r="BE14" s="9" t="s">
        <v>202</v>
      </c>
      <c r="BF14" s="9" t="s">
        <v>575</v>
      </c>
      <c r="BG14" s="9" t="s">
        <v>576</v>
      </c>
      <c r="BH14" s="9" t="s">
        <v>205</v>
      </c>
      <c r="BI14" s="9" t="s">
        <v>521</v>
      </c>
      <c r="BJ14" s="9" t="s">
        <v>207</v>
      </c>
      <c r="BK14" s="9" t="s">
        <v>208</v>
      </c>
      <c r="BL14" s="9" t="s">
        <v>209</v>
      </c>
      <c r="BM14" s="9" t="s">
        <v>577</v>
      </c>
    </row>
    <row r="15" customFormat="false" ht="229.5" hidden="false" customHeight="true" outlineLevel="0" collapsed="false">
      <c r="A15" s="9" t="s">
        <v>578</v>
      </c>
      <c r="B15" s="9" t="s">
        <v>154</v>
      </c>
      <c r="C15" s="9" t="s">
        <v>579</v>
      </c>
      <c r="D15" s="9" t="s">
        <v>156</v>
      </c>
      <c r="E15" s="9" t="s">
        <v>214</v>
      </c>
      <c r="F15" s="9" t="s">
        <v>268</v>
      </c>
      <c r="G15" s="9" t="s">
        <v>580</v>
      </c>
      <c r="H15" s="9"/>
      <c r="I15" s="9" t="s">
        <v>581</v>
      </c>
      <c r="J15" s="9" t="s">
        <v>582</v>
      </c>
      <c r="K15" s="9" t="s">
        <v>583</v>
      </c>
      <c r="L15" s="9" t="s">
        <v>584</v>
      </c>
      <c r="M15" s="9" t="s">
        <v>585</v>
      </c>
      <c r="N15" s="9" t="s">
        <v>558</v>
      </c>
      <c r="O15" s="9" t="s">
        <v>167</v>
      </c>
      <c r="P15" s="9" t="s">
        <v>168</v>
      </c>
      <c r="Q15" s="9" t="s">
        <v>559</v>
      </c>
      <c r="R15" s="9" t="s">
        <v>560</v>
      </c>
      <c r="S15" s="9" t="s">
        <v>561</v>
      </c>
      <c r="T15" s="9" t="s">
        <v>562</v>
      </c>
      <c r="U15" s="9" t="s">
        <v>173</v>
      </c>
      <c r="V15" s="9" t="s">
        <v>174</v>
      </c>
      <c r="W15" s="9" t="s">
        <v>263</v>
      </c>
      <c r="X15" s="9" t="s">
        <v>580</v>
      </c>
      <c r="Y15" s="9" t="s">
        <v>586</v>
      </c>
      <c r="Z15" s="9" t="s">
        <v>228</v>
      </c>
      <c r="AA15" s="9" t="s">
        <v>361</v>
      </c>
      <c r="AB15" s="9" t="s">
        <v>230</v>
      </c>
      <c r="AC15" s="9" t="s">
        <v>156</v>
      </c>
      <c r="AD15" s="9" t="s">
        <v>168</v>
      </c>
      <c r="AE15" s="9" t="s">
        <v>268</v>
      </c>
      <c r="AF15" s="9" t="s">
        <v>269</v>
      </c>
      <c r="AG15" s="9" t="s">
        <v>270</v>
      </c>
      <c r="AH15" s="9" t="s">
        <v>271</v>
      </c>
      <c r="AI15" s="9" t="s">
        <v>260</v>
      </c>
      <c r="AJ15" s="9" t="s">
        <v>252</v>
      </c>
      <c r="AK15" s="9" t="s">
        <v>184</v>
      </c>
      <c r="AL15" s="9" t="s">
        <v>587</v>
      </c>
      <c r="AM15" s="9" t="s">
        <v>214</v>
      </c>
      <c r="AN15" s="9" t="s">
        <v>154</v>
      </c>
      <c r="AO15" s="9" t="s">
        <v>588</v>
      </c>
      <c r="AP15" s="9" t="s">
        <v>589</v>
      </c>
      <c r="AQ15" s="9" t="s">
        <v>590</v>
      </c>
      <c r="AR15" s="9" t="s">
        <v>582</v>
      </c>
      <c r="AS15" s="9" t="s">
        <v>583</v>
      </c>
      <c r="AT15" s="9" t="s">
        <v>191</v>
      </c>
      <c r="AU15" s="9" t="s">
        <v>584</v>
      </c>
      <c r="AV15" s="9" t="s">
        <v>193</v>
      </c>
      <c r="AW15" s="9" t="s">
        <v>194</v>
      </c>
      <c r="AX15" s="9" t="s">
        <v>195</v>
      </c>
      <c r="AY15" s="9" t="s">
        <v>591</v>
      </c>
      <c r="AZ15" s="9" t="s">
        <v>592</v>
      </c>
      <c r="BA15" s="9" t="s">
        <v>593</v>
      </c>
      <c r="BB15" s="9" t="s">
        <v>199</v>
      </c>
      <c r="BC15" s="9" t="s">
        <v>200</v>
      </c>
      <c r="BD15" s="9" t="s">
        <v>201</v>
      </c>
      <c r="BE15" s="9" t="s">
        <v>202</v>
      </c>
      <c r="BF15" s="9" t="s">
        <v>594</v>
      </c>
      <c r="BG15" s="9" t="s">
        <v>595</v>
      </c>
      <c r="BH15" s="9" t="s">
        <v>205</v>
      </c>
      <c r="BI15" s="9" t="s">
        <v>314</v>
      </c>
      <c r="BJ15" s="9" t="s">
        <v>207</v>
      </c>
      <c r="BK15" s="9" t="s">
        <v>208</v>
      </c>
      <c r="BL15" s="9" t="s">
        <v>209</v>
      </c>
      <c r="BM15" s="9" t="s">
        <v>577</v>
      </c>
    </row>
    <row r="16" customFormat="false" ht="243" hidden="false" customHeight="true" outlineLevel="0" collapsed="false">
      <c r="A16" s="9" t="s">
        <v>596</v>
      </c>
      <c r="B16" s="9" t="s">
        <v>316</v>
      </c>
      <c r="C16" s="9" t="s">
        <v>155</v>
      </c>
      <c r="D16" s="9" t="s">
        <v>156</v>
      </c>
      <c r="E16" s="9" t="s">
        <v>214</v>
      </c>
      <c r="F16" s="9" t="s">
        <v>332</v>
      </c>
      <c r="G16" s="9" t="s">
        <v>597</v>
      </c>
      <c r="H16" s="9"/>
      <c r="I16" s="9" t="s">
        <v>598</v>
      </c>
      <c r="J16" s="9" t="s">
        <v>599</v>
      </c>
      <c r="K16" s="9" t="s">
        <v>600</v>
      </c>
      <c r="L16" s="9" t="s">
        <v>601</v>
      </c>
      <c r="M16" s="9" t="s">
        <v>602</v>
      </c>
      <c r="N16" s="9" t="s">
        <v>558</v>
      </c>
      <c r="O16" s="9" t="s">
        <v>413</v>
      </c>
      <c r="P16" s="9" t="s">
        <v>168</v>
      </c>
      <c r="Q16" s="9" t="s">
        <v>559</v>
      </c>
      <c r="R16" s="9" t="s">
        <v>560</v>
      </c>
      <c r="S16" s="9" t="s">
        <v>561</v>
      </c>
      <c r="T16" s="9" t="s">
        <v>562</v>
      </c>
      <c r="U16" s="9" t="s">
        <v>173</v>
      </c>
      <c r="V16" s="9" t="s">
        <v>174</v>
      </c>
      <c r="W16" s="9" t="s">
        <v>603</v>
      </c>
      <c r="X16" s="9" t="s">
        <v>597</v>
      </c>
      <c r="Y16" s="9" t="s">
        <v>604</v>
      </c>
      <c r="Z16" s="9" t="s">
        <v>605</v>
      </c>
      <c r="AA16" s="9" t="s">
        <v>606</v>
      </c>
      <c r="AB16" s="9" t="s">
        <v>180</v>
      </c>
      <c r="AC16" s="9" t="s">
        <v>156</v>
      </c>
      <c r="AD16" s="9" t="s">
        <v>168</v>
      </c>
      <c r="AE16" s="9" t="s">
        <v>332</v>
      </c>
      <c r="AF16" s="9" t="s">
        <v>607</v>
      </c>
      <c r="AG16" s="9" t="s">
        <v>608</v>
      </c>
      <c r="AH16" s="9" t="s">
        <v>609</v>
      </c>
      <c r="AI16" s="9" t="s">
        <v>260</v>
      </c>
      <c r="AJ16" s="9" t="s">
        <v>252</v>
      </c>
      <c r="AK16" s="9" t="s">
        <v>184</v>
      </c>
      <c r="AL16" s="9" t="s">
        <v>610</v>
      </c>
      <c r="AM16" s="9" t="s">
        <v>214</v>
      </c>
      <c r="AN16" s="9" t="s">
        <v>316</v>
      </c>
      <c r="AO16" s="9" t="s">
        <v>611</v>
      </c>
      <c r="AP16" s="9" t="s">
        <v>612</v>
      </c>
      <c r="AQ16" s="9" t="s">
        <v>613</v>
      </c>
      <c r="AR16" s="9" t="s">
        <v>599</v>
      </c>
      <c r="AS16" s="9" t="s">
        <v>600</v>
      </c>
      <c r="AT16" s="9" t="s">
        <v>191</v>
      </c>
      <c r="AU16" s="9" t="s">
        <v>601</v>
      </c>
      <c r="AV16" s="9" t="s">
        <v>193</v>
      </c>
      <c r="AW16" s="9" t="s">
        <v>194</v>
      </c>
      <c r="AX16" s="9" t="s">
        <v>195</v>
      </c>
      <c r="AY16" s="9" t="s">
        <v>614</v>
      </c>
      <c r="AZ16" s="9" t="s">
        <v>615</v>
      </c>
      <c r="BA16" s="9" t="s">
        <v>616</v>
      </c>
      <c r="BB16" s="9" t="s">
        <v>199</v>
      </c>
      <c r="BC16" s="9" t="s">
        <v>200</v>
      </c>
      <c r="BD16" s="9" t="s">
        <v>201</v>
      </c>
      <c r="BE16" s="9" t="s">
        <v>202</v>
      </c>
      <c r="BF16" s="9" t="s">
        <v>617</v>
      </c>
      <c r="BG16" s="9" t="s">
        <v>618</v>
      </c>
      <c r="BH16" s="9" t="s">
        <v>205</v>
      </c>
      <c r="BI16" s="9" t="s">
        <v>619</v>
      </c>
      <c r="BJ16" s="9" t="s">
        <v>207</v>
      </c>
      <c r="BK16" s="9" t="s">
        <v>208</v>
      </c>
      <c r="BL16" s="9" t="s">
        <v>209</v>
      </c>
      <c r="BM16" s="9" t="s">
        <v>577</v>
      </c>
    </row>
    <row r="17" customFormat="false" ht="216" hidden="false" customHeight="true" outlineLevel="0" collapsed="false">
      <c r="A17" s="9" t="s">
        <v>620</v>
      </c>
      <c r="B17" s="9" t="s">
        <v>316</v>
      </c>
      <c r="C17" s="9" t="s">
        <v>213</v>
      </c>
      <c r="D17" s="9" t="s">
        <v>156</v>
      </c>
      <c r="E17" s="9" t="s">
        <v>249</v>
      </c>
      <c r="F17" s="9" t="s">
        <v>420</v>
      </c>
      <c r="G17" s="9" t="s">
        <v>621</v>
      </c>
      <c r="H17" s="9"/>
      <c r="I17" s="9" t="s">
        <v>622</v>
      </c>
      <c r="J17" s="9" t="s">
        <v>623</v>
      </c>
      <c r="K17" s="9" t="s">
        <v>624</v>
      </c>
      <c r="L17" s="9" t="s">
        <v>625</v>
      </c>
      <c r="M17" s="9" t="s">
        <v>626</v>
      </c>
      <c r="N17" s="9" t="s">
        <v>558</v>
      </c>
      <c r="O17" s="9" t="s">
        <v>531</v>
      </c>
      <c r="P17" s="9" t="s">
        <v>168</v>
      </c>
      <c r="Q17" s="9" t="s">
        <v>559</v>
      </c>
      <c r="R17" s="9" t="s">
        <v>560</v>
      </c>
      <c r="S17" s="9" t="s">
        <v>561</v>
      </c>
      <c r="T17" s="9" t="s">
        <v>562</v>
      </c>
      <c r="U17" s="9" t="s">
        <v>173</v>
      </c>
      <c r="V17" s="9" t="s">
        <v>174</v>
      </c>
      <c r="W17" s="9" t="s">
        <v>295</v>
      </c>
      <c r="X17" s="9" t="s">
        <v>621</v>
      </c>
      <c r="Y17" s="9" t="s">
        <v>627</v>
      </c>
      <c r="Z17" s="9" t="s">
        <v>228</v>
      </c>
      <c r="AA17" s="9" t="s">
        <v>479</v>
      </c>
      <c r="AB17" s="9" t="s">
        <v>230</v>
      </c>
      <c r="AC17" s="9" t="s">
        <v>156</v>
      </c>
      <c r="AD17" s="9" t="s">
        <v>168</v>
      </c>
      <c r="AE17" s="9" t="s">
        <v>420</v>
      </c>
      <c r="AF17" s="9" t="s">
        <v>421</v>
      </c>
      <c r="AG17" s="9" t="s">
        <v>422</v>
      </c>
      <c r="AH17" s="9" t="s">
        <v>423</v>
      </c>
      <c r="AI17" s="9" t="s">
        <v>293</v>
      </c>
      <c r="AJ17" s="9" t="s">
        <v>286</v>
      </c>
      <c r="AK17" s="9" t="s">
        <v>184</v>
      </c>
      <c r="AL17" s="9" t="s">
        <v>628</v>
      </c>
      <c r="AM17" s="9" t="s">
        <v>249</v>
      </c>
      <c r="AN17" s="9" t="s">
        <v>316</v>
      </c>
      <c r="AO17" s="9" t="s">
        <v>629</v>
      </c>
      <c r="AP17" s="9" t="s">
        <v>630</v>
      </c>
      <c r="AQ17" s="9" t="s">
        <v>631</v>
      </c>
      <c r="AR17" s="9" t="s">
        <v>623</v>
      </c>
      <c r="AS17" s="9" t="s">
        <v>624</v>
      </c>
      <c r="AT17" s="9" t="s">
        <v>191</v>
      </c>
      <c r="AU17" s="9" t="s">
        <v>625</v>
      </c>
      <c r="AV17" s="9" t="s">
        <v>193</v>
      </c>
      <c r="AW17" s="9" t="s">
        <v>194</v>
      </c>
      <c r="AX17" s="9" t="s">
        <v>195</v>
      </c>
      <c r="AY17" s="9" t="s">
        <v>632</v>
      </c>
      <c r="AZ17" s="9" t="s">
        <v>633</v>
      </c>
      <c r="BA17" s="9" t="s">
        <v>634</v>
      </c>
      <c r="BB17" s="9" t="s">
        <v>199</v>
      </c>
      <c r="BC17" s="9" t="s">
        <v>200</v>
      </c>
      <c r="BD17" s="9" t="s">
        <v>201</v>
      </c>
      <c r="BE17" s="9" t="s">
        <v>202</v>
      </c>
      <c r="BF17" s="9" t="s">
        <v>635</v>
      </c>
      <c r="BG17" s="9" t="s">
        <v>636</v>
      </c>
      <c r="BH17" s="9" t="s">
        <v>205</v>
      </c>
      <c r="BI17" s="9" t="s">
        <v>247</v>
      </c>
      <c r="BJ17" s="9" t="s">
        <v>207</v>
      </c>
      <c r="BK17" s="9" t="s">
        <v>208</v>
      </c>
      <c r="BL17" s="9" t="s">
        <v>209</v>
      </c>
      <c r="BM17" s="9" t="s">
        <v>577</v>
      </c>
    </row>
    <row r="18" customFormat="false" ht="216" hidden="false" customHeight="true" outlineLevel="0" collapsed="false">
      <c r="A18" s="9" t="s">
        <v>637</v>
      </c>
      <c r="B18" s="9" t="s">
        <v>212</v>
      </c>
      <c r="C18" s="9" t="s">
        <v>403</v>
      </c>
      <c r="D18" s="9" t="s">
        <v>156</v>
      </c>
      <c r="E18" s="9" t="s">
        <v>404</v>
      </c>
      <c r="F18" s="9" t="s">
        <v>638</v>
      </c>
      <c r="G18" s="9" t="s">
        <v>639</v>
      </c>
      <c r="H18" s="9"/>
      <c r="I18" s="9" t="s">
        <v>640</v>
      </c>
      <c r="J18" s="9" t="s">
        <v>641</v>
      </c>
      <c r="K18" s="9" t="s">
        <v>642</v>
      </c>
      <c r="L18" s="9" t="s">
        <v>643</v>
      </c>
      <c r="M18" s="9" t="s">
        <v>644</v>
      </c>
      <c r="N18" s="9" t="s">
        <v>558</v>
      </c>
      <c r="O18" s="9" t="s">
        <v>223</v>
      </c>
      <c r="P18" s="9" t="s">
        <v>168</v>
      </c>
      <c r="Q18" s="9" t="s">
        <v>559</v>
      </c>
      <c r="R18" s="9" t="s">
        <v>560</v>
      </c>
      <c r="S18" s="9" t="s">
        <v>561</v>
      </c>
      <c r="T18" s="9" t="s">
        <v>562</v>
      </c>
      <c r="U18" s="9" t="s">
        <v>173</v>
      </c>
      <c r="V18" s="9" t="s">
        <v>174</v>
      </c>
      <c r="W18" s="9" t="s">
        <v>645</v>
      </c>
      <c r="X18" s="9" t="s">
        <v>639</v>
      </c>
      <c r="Y18" s="9" t="s">
        <v>646</v>
      </c>
      <c r="Z18" s="9" t="s">
        <v>418</v>
      </c>
      <c r="AA18" s="9" t="s">
        <v>647</v>
      </c>
      <c r="AB18" s="9" t="s">
        <v>648</v>
      </c>
      <c r="AC18" s="9" t="s">
        <v>156</v>
      </c>
      <c r="AD18" s="9" t="s">
        <v>168</v>
      </c>
      <c r="AE18" s="9" t="s">
        <v>638</v>
      </c>
      <c r="AF18" s="9" t="s">
        <v>649</v>
      </c>
      <c r="AG18" s="9" t="s">
        <v>650</v>
      </c>
      <c r="AH18" s="9" t="s">
        <v>651</v>
      </c>
      <c r="AI18" s="9" t="s">
        <v>414</v>
      </c>
      <c r="AJ18" s="9" t="s">
        <v>407</v>
      </c>
      <c r="AK18" s="9" t="s">
        <v>184</v>
      </c>
      <c r="AL18" s="9" t="s">
        <v>652</v>
      </c>
      <c r="AM18" s="9" t="s">
        <v>404</v>
      </c>
      <c r="AN18" s="9" t="s">
        <v>212</v>
      </c>
      <c r="AO18" s="9" t="s">
        <v>653</v>
      </c>
      <c r="AP18" s="9" t="s">
        <v>654</v>
      </c>
      <c r="AQ18" s="9" t="s">
        <v>655</v>
      </c>
      <c r="AR18" s="9" t="s">
        <v>641</v>
      </c>
      <c r="AS18" s="9" t="s">
        <v>642</v>
      </c>
      <c r="AT18" s="9" t="s">
        <v>191</v>
      </c>
      <c r="AU18" s="9" t="s">
        <v>643</v>
      </c>
      <c r="AV18" s="9" t="s">
        <v>193</v>
      </c>
      <c r="AW18" s="9" t="s">
        <v>194</v>
      </c>
      <c r="AX18" s="9" t="s">
        <v>195</v>
      </c>
      <c r="AY18" s="9" t="s">
        <v>656</v>
      </c>
      <c r="AZ18" s="9" t="s">
        <v>657</v>
      </c>
      <c r="BA18" s="9" t="s">
        <v>658</v>
      </c>
      <c r="BB18" s="9" t="s">
        <v>199</v>
      </c>
      <c r="BC18" s="9" t="s">
        <v>200</v>
      </c>
      <c r="BD18" s="9" t="s">
        <v>201</v>
      </c>
      <c r="BE18" s="9" t="s">
        <v>202</v>
      </c>
      <c r="BF18" s="9" t="s">
        <v>659</v>
      </c>
      <c r="BG18" s="9" t="s">
        <v>660</v>
      </c>
      <c r="BH18" s="9" t="s">
        <v>205</v>
      </c>
      <c r="BI18" s="9" t="s">
        <v>314</v>
      </c>
      <c r="BJ18" s="9" t="s">
        <v>207</v>
      </c>
      <c r="BK18" s="9" t="s">
        <v>208</v>
      </c>
      <c r="BL18" s="9" t="s">
        <v>209</v>
      </c>
      <c r="BM18" s="9" t="s">
        <v>577</v>
      </c>
    </row>
    <row r="19" customFormat="false" ht="270" hidden="false" customHeight="true" outlineLevel="0" collapsed="false">
      <c r="A19" s="9" t="s">
        <v>661</v>
      </c>
      <c r="B19" s="9" t="s">
        <v>212</v>
      </c>
      <c r="C19" s="9" t="s">
        <v>662</v>
      </c>
      <c r="D19" s="9" t="s">
        <v>663</v>
      </c>
      <c r="E19" s="9" t="s">
        <v>664</v>
      </c>
      <c r="F19" s="9" t="s">
        <v>665</v>
      </c>
      <c r="G19" s="9" t="s">
        <v>666</v>
      </c>
      <c r="H19" s="9" t="s">
        <v>667</v>
      </c>
      <c r="I19" s="9" t="s">
        <v>668</v>
      </c>
      <c r="J19" s="9" t="s">
        <v>669</v>
      </c>
      <c r="K19" s="9" t="s">
        <v>670</v>
      </c>
      <c r="L19" s="9" t="s">
        <v>671</v>
      </c>
      <c r="M19" s="9" t="s">
        <v>672</v>
      </c>
      <c r="N19" s="9" t="s">
        <v>166</v>
      </c>
      <c r="O19" s="9" t="s">
        <v>673</v>
      </c>
      <c r="P19" s="9" t="s">
        <v>674</v>
      </c>
      <c r="Q19" s="9" t="s">
        <v>675</v>
      </c>
      <c r="R19" s="9" t="s">
        <v>170</v>
      </c>
      <c r="S19" s="9" t="s">
        <v>171</v>
      </c>
      <c r="T19" s="9" t="s">
        <v>172</v>
      </c>
      <c r="U19" s="9" t="s">
        <v>173</v>
      </c>
      <c r="V19" s="9" t="s">
        <v>174</v>
      </c>
      <c r="W19" s="9" t="s">
        <v>676</v>
      </c>
      <c r="X19" s="9" t="s">
        <v>677</v>
      </c>
      <c r="Y19" s="9" t="s">
        <v>678</v>
      </c>
      <c r="Z19" s="9" t="s">
        <v>679</v>
      </c>
      <c r="AA19" s="9" t="s">
        <v>680</v>
      </c>
      <c r="AB19" s="9" t="s">
        <v>331</v>
      </c>
      <c r="AC19" s="9" t="s">
        <v>663</v>
      </c>
      <c r="AD19" s="9" t="s">
        <v>674</v>
      </c>
      <c r="AE19" s="9" t="s">
        <v>681</v>
      </c>
      <c r="AF19" s="9" t="s">
        <v>682</v>
      </c>
      <c r="AG19" s="9" t="s">
        <v>683</v>
      </c>
      <c r="AH19" s="9" t="s">
        <v>667</v>
      </c>
      <c r="AI19" s="9" t="s">
        <v>684</v>
      </c>
      <c r="AJ19" s="9" t="s">
        <v>685</v>
      </c>
      <c r="AK19" s="9" t="s">
        <v>234</v>
      </c>
      <c r="AL19" s="9" t="s">
        <v>235</v>
      </c>
      <c r="AM19" s="9" t="s">
        <v>664</v>
      </c>
      <c r="AN19" s="9" t="s">
        <v>212</v>
      </c>
      <c r="AO19" s="9" t="s">
        <v>686</v>
      </c>
      <c r="AP19" s="9" t="s">
        <v>687</v>
      </c>
      <c r="AQ19" s="9" t="s">
        <v>688</v>
      </c>
      <c r="AR19" s="9" t="s">
        <v>689</v>
      </c>
      <c r="AS19" s="9" t="s">
        <v>690</v>
      </c>
      <c r="AT19" s="9" t="s">
        <v>691</v>
      </c>
      <c r="AU19" s="9" t="s">
        <v>692</v>
      </c>
      <c r="AV19" s="9" t="s">
        <v>193</v>
      </c>
      <c r="AW19" s="9" t="s">
        <v>194</v>
      </c>
      <c r="AX19" s="9" t="s">
        <v>195</v>
      </c>
      <c r="AY19" s="9" t="s">
        <v>693</v>
      </c>
      <c r="AZ19" s="9" t="s">
        <v>694</v>
      </c>
      <c r="BA19" s="9" t="s">
        <v>695</v>
      </c>
      <c r="BB19" s="9" t="s">
        <v>199</v>
      </c>
      <c r="BC19" s="9" t="s">
        <v>200</v>
      </c>
      <c r="BD19" s="9" t="s">
        <v>201</v>
      </c>
      <c r="BE19" s="9" t="s">
        <v>202</v>
      </c>
      <c r="BF19" s="9" t="s">
        <v>696</v>
      </c>
      <c r="BG19" s="9" t="s">
        <v>697</v>
      </c>
      <c r="BH19" s="9" t="s">
        <v>205</v>
      </c>
      <c r="BI19" s="9" t="s">
        <v>698</v>
      </c>
      <c r="BJ19" s="9" t="s">
        <v>207</v>
      </c>
      <c r="BK19" s="9" t="s">
        <v>208</v>
      </c>
      <c r="BL19" s="9" t="s">
        <v>209</v>
      </c>
      <c r="BM19" s="9" t="s">
        <v>210</v>
      </c>
    </row>
    <row r="20" customFormat="false" ht="216" hidden="false" customHeight="true" outlineLevel="0" collapsed="false">
      <c r="A20" s="9" t="s">
        <v>699</v>
      </c>
      <c r="B20" s="9" t="s">
        <v>212</v>
      </c>
      <c r="C20" s="9" t="s">
        <v>700</v>
      </c>
      <c r="D20" s="9" t="s">
        <v>663</v>
      </c>
      <c r="E20" s="9" t="s">
        <v>701</v>
      </c>
      <c r="F20" s="9" t="s">
        <v>158</v>
      </c>
      <c r="G20" s="9" t="s">
        <v>702</v>
      </c>
      <c r="H20" s="9" t="s">
        <v>703</v>
      </c>
      <c r="I20" s="9" t="s">
        <v>704</v>
      </c>
      <c r="J20" s="9" t="s">
        <v>705</v>
      </c>
      <c r="K20" s="9" t="s">
        <v>706</v>
      </c>
      <c r="L20" s="9" t="s">
        <v>707</v>
      </c>
      <c r="M20" s="9" t="s">
        <v>708</v>
      </c>
      <c r="N20" s="9" t="s">
        <v>166</v>
      </c>
      <c r="O20" s="9" t="s">
        <v>673</v>
      </c>
      <c r="P20" s="9" t="s">
        <v>674</v>
      </c>
      <c r="Q20" s="9" t="s">
        <v>709</v>
      </c>
      <c r="R20" s="9" t="s">
        <v>170</v>
      </c>
      <c r="S20" s="9" t="s">
        <v>171</v>
      </c>
      <c r="T20" s="9" t="s">
        <v>172</v>
      </c>
      <c r="U20" s="9" t="s">
        <v>173</v>
      </c>
      <c r="V20" s="9" t="s">
        <v>174</v>
      </c>
      <c r="W20" s="9" t="s">
        <v>710</v>
      </c>
      <c r="X20" s="9" t="s">
        <v>711</v>
      </c>
      <c r="Y20" s="9" t="s">
        <v>712</v>
      </c>
      <c r="Z20" s="9" t="s">
        <v>228</v>
      </c>
      <c r="AA20" s="9" t="s">
        <v>713</v>
      </c>
      <c r="AB20" s="9" t="s">
        <v>180</v>
      </c>
      <c r="AC20" s="9" t="s">
        <v>663</v>
      </c>
      <c r="AD20" s="9" t="s">
        <v>674</v>
      </c>
      <c r="AE20" s="9" t="s">
        <v>158</v>
      </c>
      <c r="AF20" s="9" t="s">
        <v>714</v>
      </c>
      <c r="AG20" s="9" t="s">
        <v>715</v>
      </c>
      <c r="AH20" s="9" t="s">
        <v>703</v>
      </c>
      <c r="AI20" s="9" t="s">
        <v>709</v>
      </c>
      <c r="AJ20" s="9" t="s">
        <v>716</v>
      </c>
      <c r="AK20" s="9" t="s">
        <v>234</v>
      </c>
      <c r="AL20" s="9" t="s">
        <v>235</v>
      </c>
      <c r="AM20" s="9" t="s">
        <v>701</v>
      </c>
      <c r="AN20" s="9" t="s">
        <v>212</v>
      </c>
      <c r="AO20" s="9" t="s">
        <v>717</v>
      </c>
      <c r="AP20" s="9" t="s">
        <v>718</v>
      </c>
      <c r="AQ20" s="9" t="s">
        <v>719</v>
      </c>
      <c r="AR20" s="9" t="s">
        <v>720</v>
      </c>
      <c r="AS20" s="9" t="s">
        <v>721</v>
      </c>
      <c r="AT20" s="9" t="s">
        <v>691</v>
      </c>
      <c r="AU20" s="9" t="s">
        <v>722</v>
      </c>
      <c r="AV20" s="9" t="s">
        <v>193</v>
      </c>
      <c r="AW20" s="9" t="s">
        <v>194</v>
      </c>
      <c r="AX20" s="9" t="s">
        <v>195</v>
      </c>
      <c r="AY20" s="9" t="s">
        <v>723</v>
      </c>
      <c r="AZ20" s="9" t="s">
        <v>724</v>
      </c>
      <c r="BA20" s="9" t="s">
        <v>725</v>
      </c>
      <c r="BB20" s="9" t="s">
        <v>199</v>
      </c>
      <c r="BC20" s="9" t="s">
        <v>200</v>
      </c>
      <c r="BD20" s="9" t="s">
        <v>201</v>
      </c>
      <c r="BE20" s="9" t="s">
        <v>202</v>
      </c>
      <c r="BF20" s="9" t="s">
        <v>726</v>
      </c>
      <c r="BG20" s="9" t="s">
        <v>727</v>
      </c>
      <c r="BH20" s="9" t="s">
        <v>205</v>
      </c>
      <c r="BI20" s="9" t="s">
        <v>728</v>
      </c>
      <c r="BJ20" s="9" t="s">
        <v>207</v>
      </c>
      <c r="BK20" s="9" t="s">
        <v>208</v>
      </c>
      <c r="BL20" s="9" t="s">
        <v>209</v>
      </c>
      <c r="BM20" s="9" t="s">
        <v>210</v>
      </c>
    </row>
    <row r="21" customFormat="false" ht="229.5" hidden="false" customHeight="true" outlineLevel="0" collapsed="false">
      <c r="A21" s="9" t="s">
        <v>729</v>
      </c>
      <c r="B21" s="9" t="s">
        <v>316</v>
      </c>
      <c r="C21" s="9" t="s">
        <v>730</v>
      </c>
      <c r="D21" s="9" t="s">
        <v>663</v>
      </c>
      <c r="E21" s="9" t="s">
        <v>731</v>
      </c>
      <c r="F21" s="9" t="s">
        <v>732</v>
      </c>
      <c r="G21" s="9" t="s">
        <v>733</v>
      </c>
      <c r="H21" s="9" t="s">
        <v>734</v>
      </c>
      <c r="I21" s="9" t="s">
        <v>735</v>
      </c>
      <c r="J21" s="9" t="s">
        <v>254</v>
      </c>
      <c r="K21" s="9" t="s">
        <v>736</v>
      </c>
      <c r="L21" s="9" t="s">
        <v>737</v>
      </c>
      <c r="M21" s="9" t="s">
        <v>738</v>
      </c>
      <c r="N21" s="9" t="s">
        <v>739</v>
      </c>
      <c r="O21" s="9" t="s">
        <v>740</v>
      </c>
      <c r="P21" s="9" t="s">
        <v>674</v>
      </c>
      <c r="Q21" s="9" t="s">
        <v>741</v>
      </c>
      <c r="R21" s="9" t="s">
        <v>742</v>
      </c>
      <c r="S21" s="9" t="s">
        <v>262</v>
      </c>
      <c r="T21" s="9" t="s">
        <v>172</v>
      </c>
      <c r="U21" s="9" t="s">
        <v>173</v>
      </c>
      <c r="V21" s="9" t="s">
        <v>174</v>
      </c>
      <c r="W21" s="9" t="s">
        <v>387</v>
      </c>
      <c r="X21" s="9" t="s">
        <v>743</v>
      </c>
      <c r="Y21" s="9" t="s">
        <v>744</v>
      </c>
      <c r="Z21" s="9" t="s">
        <v>228</v>
      </c>
      <c r="AA21" s="9" t="s">
        <v>390</v>
      </c>
      <c r="AB21" s="9" t="s">
        <v>180</v>
      </c>
      <c r="AC21" s="9" t="s">
        <v>663</v>
      </c>
      <c r="AD21" s="9" t="s">
        <v>674</v>
      </c>
      <c r="AE21" s="9" t="s">
        <v>745</v>
      </c>
      <c r="AF21" s="9" t="s">
        <v>746</v>
      </c>
      <c r="AG21" s="9" t="s">
        <v>747</v>
      </c>
      <c r="AH21" s="9" t="s">
        <v>748</v>
      </c>
      <c r="AI21" s="9" t="s">
        <v>741</v>
      </c>
      <c r="AJ21" s="9" t="s">
        <v>734</v>
      </c>
      <c r="AK21" s="9" t="s">
        <v>234</v>
      </c>
      <c r="AL21" s="9" t="s">
        <v>235</v>
      </c>
      <c r="AM21" s="9" t="s">
        <v>731</v>
      </c>
      <c r="AN21" s="9" t="s">
        <v>316</v>
      </c>
      <c r="AO21" s="9" t="s">
        <v>749</v>
      </c>
      <c r="AP21" s="9" t="s">
        <v>750</v>
      </c>
      <c r="AQ21" s="9" t="s">
        <v>751</v>
      </c>
      <c r="AR21" s="9" t="s">
        <v>752</v>
      </c>
      <c r="AS21" s="9" t="s">
        <v>753</v>
      </c>
      <c r="AT21" s="9" t="s">
        <v>691</v>
      </c>
      <c r="AU21" s="9" t="s">
        <v>754</v>
      </c>
      <c r="AV21" s="9" t="s">
        <v>193</v>
      </c>
      <c r="AW21" s="9" t="s">
        <v>194</v>
      </c>
      <c r="AX21" s="9" t="s">
        <v>195</v>
      </c>
      <c r="AY21" s="9" t="s">
        <v>755</v>
      </c>
      <c r="AZ21" s="9" t="s">
        <v>756</v>
      </c>
      <c r="BA21" s="9" t="s">
        <v>757</v>
      </c>
      <c r="BB21" s="9" t="s">
        <v>199</v>
      </c>
      <c r="BC21" s="9" t="s">
        <v>200</v>
      </c>
      <c r="BD21" s="9" t="s">
        <v>201</v>
      </c>
      <c r="BE21" s="9" t="s">
        <v>202</v>
      </c>
      <c r="BF21" s="9" t="s">
        <v>758</v>
      </c>
      <c r="BG21" s="9" t="s">
        <v>759</v>
      </c>
      <c r="BH21" s="9" t="s">
        <v>205</v>
      </c>
      <c r="BI21" s="9" t="s">
        <v>698</v>
      </c>
      <c r="BJ21" s="9" t="s">
        <v>207</v>
      </c>
      <c r="BK21" s="9" t="s">
        <v>208</v>
      </c>
      <c r="BL21" s="9" t="s">
        <v>209</v>
      </c>
      <c r="BM21" s="9" t="s">
        <v>210</v>
      </c>
    </row>
    <row r="22" customFormat="false" ht="202.5" hidden="false" customHeight="true" outlineLevel="0" collapsed="false">
      <c r="A22" s="9" t="s">
        <v>760</v>
      </c>
      <c r="B22" s="9" t="s">
        <v>316</v>
      </c>
      <c r="C22" s="9" t="s">
        <v>761</v>
      </c>
      <c r="D22" s="9" t="s">
        <v>663</v>
      </c>
      <c r="E22" s="9" t="s">
        <v>762</v>
      </c>
      <c r="F22" s="9" t="s">
        <v>763</v>
      </c>
      <c r="G22" s="9" t="s">
        <v>764</v>
      </c>
      <c r="H22" s="9" t="s">
        <v>765</v>
      </c>
      <c r="I22" s="9" t="s">
        <v>766</v>
      </c>
      <c r="J22" s="9" t="s">
        <v>254</v>
      </c>
      <c r="K22" s="9" t="s">
        <v>767</v>
      </c>
      <c r="L22" s="9" t="s">
        <v>768</v>
      </c>
      <c r="M22" s="9" t="s">
        <v>769</v>
      </c>
      <c r="N22" s="9" t="s">
        <v>770</v>
      </c>
      <c r="O22" s="9" t="s">
        <v>771</v>
      </c>
      <c r="P22" s="9" t="s">
        <v>674</v>
      </c>
      <c r="Q22" s="9" t="s">
        <v>772</v>
      </c>
      <c r="R22" s="9" t="s">
        <v>773</v>
      </c>
      <c r="S22" s="9" t="s">
        <v>262</v>
      </c>
      <c r="T22" s="9" t="s">
        <v>172</v>
      </c>
      <c r="U22" s="9" t="s">
        <v>173</v>
      </c>
      <c r="V22" s="9" t="s">
        <v>174</v>
      </c>
      <c r="W22" s="9" t="s">
        <v>774</v>
      </c>
      <c r="X22" s="9" t="s">
        <v>775</v>
      </c>
      <c r="Y22" s="9" t="s">
        <v>776</v>
      </c>
      <c r="Z22" s="9" t="s">
        <v>777</v>
      </c>
      <c r="AA22" s="9" t="s">
        <v>778</v>
      </c>
      <c r="AB22" s="9" t="s">
        <v>230</v>
      </c>
      <c r="AC22" s="9" t="s">
        <v>663</v>
      </c>
      <c r="AD22" s="9" t="s">
        <v>674</v>
      </c>
      <c r="AE22" s="9" t="s">
        <v>763</v>
      </c>
      <c r="AF22" s="9" t="s">
        <v>480</v>
      </c>
      <c r="AG22" s="9" t="s">
        <v>481</v>
      </c>
      <c r="AH22" s="9" t="s">
        <v>481</v>
      </c>
      <c r="AI22" s="9" t="s">
        <v>772</v>
      </c>
      <c r="AJ22" s="9" t="s">
        <v>765</v>
      </c>
      <c r="AK22" s="9" t="s">
        <v>482</v>
      </c>
      <c r="AL22" s="9" t="s">
        <v>483</v>
      </c>
      <c r="AM22" s="9" t="s">
        <v>762</v>
      </c>
      <c r="AN22" s="9" t="s">
        <v>316</v>
      </c>
      <c r="AO22" s="9" t="s">
        <v>779</v>
      </c>
      <c r="AP22" s="9" t="s">
        <v>780</v>
      </c>
      <c r="AQ22" s="9" t="s">
        <v>781</v>
      </c>
      <c r="AR22" s="9" t="s">
        <v>782</v>
      </c>
      <c r="AS22" s="9" t="s">
        <v>783</v>
      </c>
      <c r="AT22" s="9" t="s">
        <v>691</v>
      </c>
      <c r="AU22" s="9" t="s">
        <v>784</v>
      </c>
      <c r="AV22" s="9" t="s">
        <v>193</v>
      </c>
      <c r="AW22" s="9" t="s">
        <v>194</v>
      </c>
      <c r="AX22" s="9" t="s">
        <v>195</v>
      </c>
      <c r="AY22" s="9" t="s">
        <v>785</v>
      </c>
      <c r="AZ22" s="9" t="s">
        <v>786</v>
      </c>
      <c r="BA22" s="9" t="s">
        <v>787</v>
      </c>
      <c r="BB22" s="9" t="s">
        <v>199</v>
      </c>
      <c r="BC22" s="9" t="s">
        <v>200</v>
      </c>
      <c r="BD22" s="9" t="s">
        <v>201</v>
      </c>
      <c r="BE22" s="9" t="s">
        <v>202</v>
      </c>
      <c r="BF22" s="9" t="s">
        <v>788</v>
      </c>
      <c r="BG22" s="9" t="s">
        <v>789</v>
      </c>
      <c r="BH22" s="9" t="s">
        <v>205</v>
      </c>
      <c r="BI22" s="9" t="s">
        <v>698</v>
      </c>
      <c r="BJ22" s="9" t="s">
        <v>207</v>
      </c>
      <c r="BK22" s="9" t="s">
        <v>208</v>
      </c>
      <c r="BL22" s="9" t="s">
        <v>209</v>
      </c>
      <c r="BM22" s="9" t="s">
        <v>210</v>
      </c>
    </row>
    <row r="23" customFormat="false" ht="229.5" hidden="false" customHeight="true" outlineLevel="0" collapsed="false">
      <c r="A23" s="9" t="s">
        <v>790</v>
      </c>
      <c r="B23" s="9" t="s">
        <v>154</v>
      </c>
      <c r="C23" s="9" t="s">
        <v>730</v>
      </c>
      <c r="D23" s="9" t="s">
        <v>663</v>
      </c>
      <c r="E23" s="9" t="s">
        <v>664</v>
      </c>
      <c r="F23" s="9" t="s">
        <v>791</v>
      </c>
      <c r="G23" s="9" t="s">
        <v>792</v>
      </c>
      <c r="H23" s="9" t="s">
        <v>793</v>
      </c>
      <c r="I23" s="9" t="s">
        <v>794</v>
      </c>
      <c r="J23" s="9" t="s">
        <v>254</v>
      </c>
      <c r="K23" s="9" t="s">
        <v>795</v>
      </c>
      <c r="L23" s="9" t="s">
        <v>796</v>
      </c>
      <c r="M23" s="9" t="s">
        <v>797</v>
      </c>
      <c r="N23" s="9" t="s">
        <v>798</v>
      </c>
      <c r="O23" s="9" t="s">
        <v>673</v>
      </c>
      <c r="P23" s="9" t="s">
        <v>674</v>
      </c>
      <c r="Q23" s="9" t="s">
        <v>799</v>
      </c>
      <c r="R23" s="9" t="s">
        <v>800</v>
      </c>
      <c r="S23" s="9" t="s">
        <v>262</v>
      </c>
      <c r="T23" s="9" t="s">
        <v>172</v>
      </c>
      <c r="U23" s="9" t="s">
        <v>173</v>
      </c>
      <c r="V23" s="9" t="s">
        <v>174</v>
      </c>
      <c r="W23" s="9" t="s">
        <v>603</v>
      </c>
      <c r="X23" s="9" t="s">
        <v>801</v>
      </c>
      <c r="Y23" s="9" t="s">
        <v>802</v>
      </c>
      <c r="Z23" s="9" t="s">
        <v>228</v>
      </c>
      <c r="AA23" s="9" t="s">
        <v>361</v>
      </c>
      <c r="AB23" s="9" t="s">
        <v>230</v>
      </c>
      <c r="AC23" s="9" t="s">
        <v>663</v>
      </c>
      <c r="AD23" s="9" t="s">
        <v>674</v>
      </c>
      <c r="AE23" s="9" t="s">
        <v>803</v>
      </c>
      <c r="AF23" s="9" t="s">
        <v>804</v>
      </c>
      <c r="AG23" s="9" t="s">
        <v>805</v>
      </c>
      <c r="AH23" s="9" t="s">
        <v>806</v>
      </c>
      <c r="AI23" s="9" t="s">
        <v>799</v>
      </c>
      <c r="AJ23" s="9" t="s">
        <v>793</v>
      </c>
      <c r="AK23" s="9" t="s">
        <v>234</v>
      </c>
      <c r="AL23" s="9" t="s">
        <v>235</v>
      </c>
      <c r="AM23" s="9" t="s">
        <v>664</v>
      </c>
      <c r="AN23" s="9" t="s">
        <v>154</v>
      </c>
      <c r="AO23" s="9" t="s">
        <v>807</v>
      </c>
      <c r="AP23" s="9" t="s">
        <v>808</v>
      </c>
      <c r="AQ23" s="9" t="s">
        <v>809</v>
      </c>
      <c r="AR23" s="9" t="s">
        <v>810</v>
      </c>
      <c r="AS23" s="9" t="s">
        <v>811</v>
      </c>
      <c r="AT23" s="9" t="s">
        <v>691</v>
      </c>
      <c r="AU23" s="9" t="s">
        <v>812</v>
      </c>
      <c r="AV23" s="9" t="s">
        <v>193</v>
      </c>
      <c r="AW23" s="9" t="s">
        <v>194</v>
      </c>
      <c r="AX23" s="9" t="s">
        <v>195</v>
      </c>
      <c r="AY23" s="9" t="s">
        <v>813</v>
      </c>
      <c r="AZ23" s="9" t="s">
        <v>814</v>
      </c>
      <c r="BA23" s="9" t="s">
        <v>815</v>
      </c>
      <c r="BB23" s="9" t="s">
        <v>199</v>
      </c>
      <c r="BC23" s="9" t="s">
        <v>200</v>
      </c>
      <c r="BD23" s="9" t="s">
        <v>201</v>
      </c>
      <c r="BE23" s="9" t="s">
        <v>202</v>
      </c>
      <c r="BF23" s="9" t="s">
        <v>816</v>
      </c>
      <c r="BG23" s="9" t="s">
        <v>817</v>
      </c>
      <c r="BH23" s="9" t="s">
        <v>205</v>
      </c>
      <c r="BI23" s="9" t="s">
        <v>818</v>
      </c>
      <c r="BJ23" s="9" t="s">
        <v>207</v>
      </c>
      <c r="BK23" s="9" t="s">
        <v>208</v>
      </c>
      <c r="BL23" s="9" t="s">
        <v>209</v>
      </c>
      <c r="BM23" s="9" t="s">
        <v>210</v>
      </c>
    </row>
    <row r="24" customFormat="false" ht="229.5" hidden="false" customHeight="true" outlineLevel="0" collapsed="false">
      <c r="A24" s="9" t="s">
        <v>819</v>
      </c>
      <c r="B24" s="9" t="s">
        <v>212</v>
      </c>
      <c r="C24" s="9" t="s">
        <v>700</v>
      </c>
      <c r="D24" s="9" t="s">
        <v>663</v>
      </c>
      <c r="E24" s="9" t="s">
        <v>664</v>
      </c>
      <c r="F24" s="9" t="s">
        <v>820</v>
      </c>
      <c r="G24" s="9" t="s">
        <v>821</v>
      </c>
      <c r="H24" s="9" t="s">
        <v>716</v>
      </c>
      <c r="I24" s="9" t="s">
        <v>822</v>
      </c>
      <c r="J24" s="9" t="s">
        <v>254</v>
      </c>
      <c r="K24" s="9" t="s">
        <v>823</v>
      </c>
      <c r="L24" s="9" t="s">
        <v>824</v>
      </c>
      <c r="M24" s="9" t="s">
        <v>825</v>
      </c>
      <c r="N24" s="9" t="s">
        <v>384</v>
      </c>
      <c r="O24" s="9" t="s">
        <v>826</v>
      </c>
      <c r="P24" s="9" t="s">
        <v>674</v>
      </c>
      <c r="Q24" s="9" t="s">
        <v>709</v>
      </c>
      <c r="R24" s="9" t="s">
        <v>827</v>
      </c>
      <c r="S24" s="9" t="s">
        <v>262</v>
      </c>
      <c r="T24" s="9" t="s">
        <v>172</v>
      </c>
      <c r="U24" s="9" t="s">
        <v>173</v>
      </c>
      <c r="V24" s="9" t="s">
        <v>174</v>
      </c>
      <c r="W24" s="9" t="s">
        <v>710</v>
      </c>
      <c r="X24" s="9" t="s">
        <v>828</v>
      </c>
      <c r="Y24" s="9" t="s">
        <v>829</v>
      </c>
      <c r="Z24" s="9" t="s">
        <v>228</v>
      </c>
      <c r="AA24" s="9" t="s">
        <v>361</v>
      </c>
      <c r="AB24" s="9" t="s">
        <v>180</v>
      </c>
      <c r="AC24" s="9" t="s">
        <v>663</v>
      </c>
      <c r="AD24" s="9" t="s">
        <v>674</v>
      </c>
      <c r="AE24" s="9" t="s">
        <v>158</v>
      </c>
      <c r="AF24" s="9" t="s">
        <v>714</v>
      </c>
      <c r="AG24" s="9" t="s">
        <v>715</v>
      </c>
      <c r="AH24" s="9" t="s">
        <v>703</v>
      </c>
      <c r="AI24" s="9" t="s">
        <v>709</v>
      </c>
      <c r="AJ24" s="9" t="s">
        <v>716</v>
      </c>
      <c r="AK24" s="9" t="s">
        <v>234</v>
      </c>
      <c r="AL24" s="9" t="s">
        <v>235</v>
      </c>
      <c r="AM24" s="9" t="s">
        <v>664</v>
      </c>
      <c r="AN24" s="9" t="s">
        <v>212</v>
      </c>
      <c r="AO24" s="9" t="s">
        <v>830</v>
      </c>
      <c r="AP24" s="9" t="s">
        <v>831</v>
      </c>
      <c r="AQ24" s="9" t="s">
        <v>832</v>
      </c>
      <c r="AR24" s="9" t="s">
        <v>833</v>
      </c>
      <c r="AS24" s="9" t="s">
        <v>834</v>
      </c>
      <c r="AT24" s="9" t="s">
        <v>691</v>
      </c>
      <c r="AU24" s="9" t="s">
        <v>835</v>
      </c>
      <c r="AV24" s="9" t="s">
        <v>193</v>
      </c>
      <c r="AW24" s="9" t="s">
        <v>194</v>
      </c>
      <c r="AX24" s="9" t="s">
        <v>195</v>
      </c>
      <c r="AY24" s="9" t="s">
        <v>836</v>
      </c>
      <c r="AZ24" s="9" t="s">
        <v>837</v>
      </c>
      <c r="BA24" s="9" t="s">
        <v>838</v>
      </c>
      <c r="BB24" s="9" t="s">
        <v>199</v>
      </c>
      <c r="BC24" s="9" t="s">
        <v>200</v>
      </c>
      <c r="BD24" s="9" t="s">
        <v>201</v>
      </c>
      <c r="BE24" s="9" t="s">
        <v>202</v>
      </c>
      <c r="BF24" s="9" t="s">
        <v>839</v>
      </c>
      <c r="BG24" s="9" t="s">
        <v>840</v>
      </c>
      <c r="BH24" s="9" t="s">
        <v>205</v>
      </c>
      <c r="BI24" s="9" t="s">
        <v>728</v>
      </c>
      <c r="BJ24" s="9" t="s">
        <v>207</v>
      </c>
      <c r="BK24" s="9" t="s">
        <v>208</v>
      </c>
      <c r="BL24" s="9" t="s">
        <v>209</v>
      </c>
      <c r="BM24" s="9" t="s">
        <v>210</v>
      </c>
    </row>
    <row r="25" customFormat="false" ht="216" hidden="false" customHeight="true" outlineLevel="0" collapsed="false">
      <c r="A25" s="9" t="s">
        <v>841</v>
      </c>
      <c r="B25" s="9" t="s">
        <v>212</v>
      </c>
      <c r="C25" s="9" t="s">
        <v>761</v>
      </c>
      <c r="D25" s="9" t="s">
        <v>663</v>
      </c>
      <c r="E25" s="9" t="s">
        <v>842</v>
      </c>
      <c r="F25" s="9" t="s">
        <v>843</v>
      </c>
      <c r="G25" s="9" t="s">
        <v>844</v>
      </c>
      <c r="H25" s="9" t="s">
        <v>845</v>
      </c>
      <c r="I25" s="9" t="s">
        <v>846</v>
      </c>
      <c r="J25" s="9" t="s">
        <v>254</v>
      </c>
      <c r="K25" s="9" t="s">
        <v>847</v>
      </c>
      <c r="L25" s="9" t="s">
        <v>848</v>
      </c>
      <c r="M25" s="9" t="s">
        <v>849</v>
      </c>
      <c r="N25" s="9" t="s">
        <v>850</v>
      </c>
      <c r="O25" s="9" t="s">
        <v>826</v>
      </c>
      <c r="P25" s="9" t="s">
        <v>674</v>
      </c>
      <c r="Q25" s="9" t="s">
        <v>851</v>
      </c>
      <c r="R25" s="9" t="s">
        <v>852</v>
      </c>
      <c r="S25" s="9" t="s">
        <v>262</v>
      </c>
      <c r="T25" s="9" t="s">
        <v>172</v>
      </c>
      <c r="U25" s="9" t="s">
        <v>173</v>
      </c>
      <c r="V25" s="9" t="s">
        <v>174</v>
      </c>
      <c r="W25" s="9" t="s">
        <v>534</v>
      </c>
      <c r="X25" s="9" t="s">
        <v>853</v>
      </c>
      <c r="Y25" s="9" t="s">
        <v>854</v>
      </c>
      <c r="Z25" s="9" t="s">
        <v>537</v>
      </c>
      <c r="AA25" s="9" t="s">
        <v>778</v>
      </c>
      <c r="AB25" s="9" t="s">
        <v>331</v>
      </c>
      <c r="AC25" s="9" t="s">
        <v>663</v>
      </c>
      <c r="AD25" s="9" t="s">
        <v>674</v>
      </c>
      <c r="AE25" s="9" t="s">
        <v>843</v>
      </c>
      <c r="AF25" s="9" t="s">
        <v>480</v>
      </c>
      <c r="AG25" s="9" t="s">
        <v>481</v>
      </c>
      <c r="AH25" s="9" t="s">
        <v>481</v>
      </c>
      <c r="AI25" s="9" t="s">
        <v>851</v>
      </c>
      <c r="AJ25" s="9" t="s">
        <v>845</v>
      </c>
      <c r="AK25" s="9" t="s">
        <v>482</v>
      </c>
      <c r="AL25" s="9" t="s">
        <v>483</v>
      </c>
      <c r="AM25" s="9" t="s">
        <v>842</v>
      </c>
      <c r="AN25" s="9" t="s">
        <v>212</v>
      </c>
      <c r="AO25" s="9" t="s">
        <v>855</v>
      </c>
      <c r="AP25" s="9" t="s">
        <v>856</v>
      </c>
      <c r="AQ25" s="9" t="s">
        <v>857</v>
      </c>
      <c r="AR25" s="9" t="s">
        <v>858</v>
      </c>
      <c r="AS25" s="9" t="s">
        <v>859</v>
      </c>
      <c r="AT25" s="9" t="s">
        <v>691</v>
      </c>
      <c r="AU25" s="9" t="s">
        <v>860</v>
      </c>
      <c r="AV25" s="9" t="s">
        <v>193</v>
      </c>
      <c r="AW25" s="9" t="s">
        <v>194</v>
      </c>
      <c r="AX25" s="9" t="s">
        <v>195</v>
      </c>
      <c r="AY25" s="9" t="s">
        <v>861</v>
      </c>
      <c r="AZ25" s="9" t="s">
        <v>862</v>
      </c>
      <c r="BA25" s="9" t="s">
        <v>863</v>
      </c>
      <c r="BB25" s="9" t="s">
        <v>199</v>
      </c>
      <c r="BC25" s="9" t="s">
        <v>200</v>
      </c>
      <c r="BD25" s="9" t="s">
        <v>201</v>
      </c>
      <c r="BE25" s="9" t="s">
        <v>202</v>
      </c>
      <c r="BF25" s="9" t="s">
        <v>864</v>
      </c>
      <c r="BG25" s="9" t="s">
        <v>549</v>
      </c>
      <c r="BH25" s="9" t="s">
        <v>205</v>
      </c>
      <c r="BI25" s="9" t="s">
        <v>698</v>
      </c>
      <c r="BJ25" s="9" t="s">
        <v>207</v>
      </c>
      <c r="BK25" s="9" t="s">
        <v>208</v>
      </c>
      <c r="BL25" s="9" t="s">
        <v>209</v>
      </c>
      <c r="BM25" s="9" t="s">
        <v>210</v>
      </c>
    </row>
    <row r="26" customFormat="false" ht="229.5" hidden="false" customHeight="true" outlineLevel="0" collapsed="false">
      <c r="A26" s="9" t="s">
        <v>865</v>
      </c>
      <c r="B26" s="9" t="s">
        <v>316</v>
      </c>
      <c r="C26" s="9" t="s">
        <v>730</v>
      </c>
      <c r="D26" s="9" t="s">
        <v>663</v>
      </c>
      <c r="E26" s="9" t="s">
        <v>731</v>
      </c>
      <c r="F26" s="9" t="s">
        <v>866</v>
      </c>
      <c r="G26" s="9" t="s">
        <v>867</v>
      </c>
      <c r="H26" s="9" t="s">
        <v>868</v>
      </c>
      <c r="I26" s="9" t="s">
        <v>869</v>
      </c>
      <c r="J26" s="9" t="s">
        <v>254</v>
      </c>
      <c r="K26" s="9" t="s">
        <v>870</v>
      </c>
      <c r="L26" s="9" t="s">
        <v>871</v>
      </c>
      <c r="M26" s="9" t="s">
        <v>872</v>
      </c>
      <c r="N26" s="9" t="s">
        <v>873</v>
      </c>
      <c r="O26" s="9" t="s">
        <v>771</v>
      </c>
      <c r="P26" s="9" t="s">
        <v>674</v>
      </c>
      <c r="Q26" s="9" t="s">
        <v>874</v>
      </c>
      <c r="R26" s="9" t="s">
        <v>875</v>
      </c>
      <c r="S26" s="9" t="s">
        <v>262</v>
      </c>
      <c r="T26" s="9" t="s">
        <v>172</v>
      </c>
      <c r="U26" s="9" t="s">
        <v>173</v>
      </c>
      <c r="V26" s="9" t="s">
        <v>174</v>
      </c>
      <c r="W26" s="9" t="s">
        <v>876</v>
      </c>
      <c r="X26" s="9" t="s">
        <v>877</v>
      </c>
      <c r="Y26" s="9" t="s">
        <v>878</v>
      </c>
      <c r="Z26" s="9" t="s">
        <v>777</v>
      </c>
      <c r="AA26" s="9" t="s">
        <v>879</v>
      </c>
      <c r="AB26" s="9" t="s">
        <v>331</v>
      </c>
      <c r="AC26" s="9" t="s">
        <v>663</v>
      </c>
      <c r="AD26" s="9" t="s">
        <v>674</v>
      </c>
      <c r="AE26" s="9" t="s">
        <v>880</v>
      </c>
      <c r="AF26" s="9" t="s">
        <v>881</v>
      </c>
      <c r="AG26" s="9" t="s">
        <v>882</v>
      </c>
      <c r="AH26" s="9" t="s">
        <v>883</v>
      </c>
      <c r="AI26" s="9" t="s">
        <v>874</v>
      </c>
      <c r="AJ26" s="9" t="s">
        <v>868</v>
      </c>
      <c r="AK26" s="9" t="s">
        <v>234</v>
      </c>
      <c r="AL26" s="9" t="s">
        <v>235</v>
      </c>
      <c r="AM26" s="9" t="s">
        <v>731</v>
      </c>
      <c r="AN26" s="9" t="s">
        <v>316</v>
      </c>
      <c r="AO26" s="9" t="s">
        <v>884</v>
      </c>
      <c r="AP26" s="9" t="s">
        <v>885</v>
      </c>
      <c r="AQ26" s="9" t="s">
        <v>886</v>
      </c>
      <c r="AR26" s="9" t="s">
        <v>887</v>
      </c>
      <c r="AS26" s="9" t="s">
        <v>888</v>
      </c>
      <c r="AT26" s="9" t="s">
        <v>691</v>
      </c>
      <c r="AU26" s="9" t="s">
        <v>889</v>
      </c>
      <c r="AV26" s="9" t="s">
        <v>193</v>
      </c>
      <c r="AW26" s="9" t="s">
        <v>194</v>
      </c>
      <c r="AX26" s="9" t="s">
        <v>195</v>
      </c>
      <c r="AY26" s="9" t="s">
        <v>890</v>
      </c>
      <c r="AZ26" s="9" t="s">
        <v>891</v>
      </c>
      <c r="BA26" s="9" t="s">
        <v>892</v>
      </c>
      <c r="BB26" s="9" t="s">
        <v>199</v>
      </c>
      <c r="BC26" s="9" t="s">
        <v>200</v>
      </c>
      <c r="BD26" s="9" t="s">
        <v>201</v>
      </c>
      <c r="BE26" s="9" t="s">
        <v>202</v>
      </c>
      <c r="BF26" s="9" t="s">
        <v>893</v>
      </c>
      <c r="BG26" s="9" t="s">
        <v>894</v>
      </c>
      <c r="BH26" s="9" t="s">
        <v>205</v>
      </c>
      <c r="BI26" s="9" t="s">
        <v>698</v>
      </c>
      <c r="BJ26" s="9" t="s">
        <v>207</v>
      </c>
      <c r="BK26" s="9" t="s">
        <v>208</v>
      </c>
      <c r="BL26" s="9" t="s">
        <v>209</v>
      </c>
      <c r="BM26" s="9" t="s">
        <v>210</v>
      </c>
    </row>
    <row r="27" customFormat="false" ht="229.5" hidden="false" customHeight="true" outlineLevel="0" collapsed="false">
      <c r="A27" s="9" t="s">
        <v>895</v>
      </c>
      <c r="B27" s="9" t="s">
        <v>316</v>
      </c>
      <c r="C27" s="9" t="s">
        <v>761</v>
      </c>
      <c r="D27" s="9" t="s">
        <v>663</v>
      </c>
      <c r="E27" s="9" t="s">
        <v>762</v>
      </c>
      <c r="F27" s="9" t="s">
        <v>896</v>
      </c>
      <c r="G27" s="9" t="s">
        <v>897</v>
      </c>
      <c r="H27" s="9" t="s">
        <v>685</v>
      </c>
      <c r="I27" s="9" t="s">
        <v>898</v>
      </c>
      <c r="J27" s="9" t="s">
        <v>254</v>
      </c>
      <c r="K27" s="9" t="s">
        <v>899</v>
      </c>
      <c r="L27" s="9" t="s">
        <v>900</v>
      </c>
      <c r="M27" s="9" t="s">
        <v>901</v>
      </c>
      <c r="N27" s="9" t="s">
        <v>902</v>
      </c>
      <c r="O27" s="9" t="s">
        <v>673</v>
      </c>
      <c r="P27" s="9" t="s">
        <v>674</v>
      </c>
      <c r="Q27" s="9" t="s">
        <v>684</v>
      </c>
      <c r="R27" s="9" t="s">
        <v>903</v>
      </c>
      <c r="S27" s="9" t="s">
        <v>262</v>
      </c>
      <c r="T27" s="9" t="s">
        <v>172</v>
      </c>
      <c r="U27" s="9" t="s">
        <v>173</v>
      </c>
      <c r="V27" s="9" t="s">
        <v>174</v>
      </c>
      <c r="W27" s="9" t="s">
        <v>904</v>
      </c>
      <c r="X27" s="9" t="s">
        <v>905</v>
      </c>
      <c r="Y27" s="9" t="s">
        <v>906</v>
      </c>
      <c r="Z27" s="9" t="s">
        <v>907</v>
      </c>
      <c r="AA27" s="9" t="s">
        <v>908</v>
      </c>
      <c r="AB27" s="9" t="s">
        <v>230</v>
      </c>
      <c r="AC27" s="9" t="s">
        <v>663</v>
      </c>
      <c r="AD27" s="9" t="s">
        <v>674</v>
      </c>
      <c r="AE27" s="9" t="s">
        <v>681</v>
      </c>
      <c r="AF27" s="9" t="s">
        <v>682</v>
      </c>
      <c r="AG27" s="9" t="s">
        <v>683</v>
      </c>
      <c r="AH27" s="9" t="s">
        <v>667</v>
      </c>
      <c r="AI27" s="9" t="s">
        <v>684</v>
      </c>
      <c r="AJ27" s="9" t="s">
        <v>685</v>
      </c>
      <c r="AK27" s="9" t="s">
        <v>234</v>
      </c>
      <c r="AL27" s="9" t="s">
        <v>235</v>
      </c>
      <c r="AM27" s="9" t="s">
        <v>762</v>
      </c>
      <c r="AN27" s="9" t="s">
        <v>316</v>
      </c>
      <c r="AO27" s="9" t="s">
        <v>909</v>
      </c>
      <c r="AP27" s="9" t="s">
        <v>910</v>
      </c>
      <c r="AQ27" s="9" t="s">
        <v>911</v>
      </c>
      <c r="AR27" s="9" t="s">
        <v>912</v>
      </c>
      <c r="AS27" s="9" t="s">
        <v>913</v>
      </c>
      <c r="AT27" s="9" t="s">
        <v>691</v>
      </c>
      <c r="AU27" s="9" t="s">
        <v>914</v>
      </c>
      <c r="AV27" s="9" t="s">
        <v>193</v>
      </c>
      <c r="AW27" s="9" t="s">
        <v>194</v>
      </c>
      <c r="AX27" s="9" t="s">
        <v>195</v>
      </c>
      <c r="AY27" s="9" t="s">
        <v>915</v>
      </c>
      <c r="AZ27" s="9" t="s">
        <v>916</v>
      </c>
      <c r="BA27" s="9" t="s">
        <v>917</v>
      </c>
      <c r="BB27" s="9" t="s">
        <v>199</v>
      </c>
      <c r="BC27" s="9" t="s">
        <v>200</v>
      </c>
      <c r="BD27" s="9" t="s">
        <v>201</v>
      </c>
      <c r="BE27" s="9" t="s">
        <v>202</v>
      </c>
      <c r="BF27" s="9" t="s">
        <v>918</v>
      </c>
      <c r="BG27" s="9" t="s">
        <v>919</v>
      </c>
      <c r="BH27" s="9" t="s">
        <v>205</v>
      </c>
      <c r="BI27" s="9" t="s">
        <v>920</v>
      </c>
      <c r="BJ27" s="9" t="s">
        <v>207</v>
      </c>
      <c r="BK27" s="9" t="s">
        <v>208</v>
      </c>
      <c r="BL27" s="9" t="s">
        <v>209</v>
      </c>
      <c r="BM27" s="9" t="s">
        <v>210</v>
      </c>
    </row>
    <row r="28" customFormat="false" ht="216" hidden="false" customHeight="true" outlineLevel="0" collapsed="false">
      <c r="A28" s="9" t="s">
        <v>921</v>
      </c>
      <c r="B28" s="9" t="s">
        <v>212</v>
      </c>
      <c r="C28" s="9" t="s">
        <v>922</v>
      </c>
      <c r="D28" s="9" t="s">
        <v>663</v>
      </c>
      <c r="E28" s="9" t="s">
        <v>842</v>
      </c>
      <c r="F28" s="9" t="s">
        <v>923</v>
      </c>
      <c r="G28" s="9" t="s">
        <v>924</v>
      </c>
      <c r="H28" s="9" t="s">
        <v>925</v>
      </c>
      <c r="I28" s="9" t="s">
        <v>926</v>
      </c>
      <c r="J28" s="9" t="s">
        <v>254</v>
      </c>
      <c r="K28" s="9" t="s">
        <v>927</v>
      </c>
      <c r="L28" s="9" t="s">
        <v>928</v>
      </c>
      <c r="M28" s="9" t="s">
        <v>929</v>
      </c>
      <c r="N28" s="9" t="s">
        <v>930</v>
      </c>
      <c r="O28" s="9" t="s">
        <v>740</v>
      </c>
      <c r="P28" s="9" t="s">
        <v>674</v>
      </c>
      <c r="Q28" s="9" t="s">
        <v>931</v>
      </c>
      <c r="R28" s="9" t="s">
        <v>932</v>
      </c>
      <c r="S28" s="9" t="s">
        <v>262</v>
      </c>
      <c r="T28" s="9" t="s">
        <v>172</v>
      </c>
      <c r="U28" s="9" t="s">
        <v>173</v>
      </c>
      <c r="V28" s="9" t="s">
        <v>174</v>
      </c>
      <c r="W28" s="9" t="s">
        <v>933</v>
      </c>
      <c r="X28" s="9" t="s">
        <v>934</v>
      </c>
      <c r="Y28" s="9" t="s">
        <v>935</v>
      </c>
      <c r="Z28" s="9" t="s">
        <v>228</v>
      </c>
      <c r="AA28" s="9" t="s">
        <v>479</v>
      </c>
      <c r="AB28" s="9" t="s">
        <v>230</v>
      </c>
      <c r="AC28" s="9" t="s">
        <v>663</v>
      </c>
      <c r="AD28" s="9" t="s">
        <v>674</v>
      </c>
      <c r="AE28" s="9" t="s">
        <v>923</v>
      </c>
      <c r="AF28" s="9" t="s">
        <v>480</v>
      </c>
      <c r="AG28" s="9" t="s">
        <v>481</v>
      </c>
      <c r="AH28" s="9" t="s">
        <v>481</v>
      </c>
      <c r="AI28" s="9" t="s">
        <v>931</v>
      </c>
      <c r="AJ28" s="9" t="s">
        <v>925</v>
      </c>
      <c r="AK28" s="9" t="s">
        <v>482</v>
      </c>
      <c r="AL28" s="9" t="s">
        <v>483</v>
      </c>
      <c r="AM28" s="9" t="s">
        <v>842</v>
      </c>
      <c r="AN28" s="9" t="s">
        <v>212</v>
      </c>
      <c r="AO28" s="9" t="s">
        <v>936</v>
      </c>
      <c r="AP28" s="9" t="s">
        <v>937</v>
      </c>
      <c r="AQ28" s="9" t="s">
        <v>938</v>
      </c>
      <c r="AR28" s="9" t="s">
        <v>939</v>
      </c>
      <c r="AS28" s="9" t="s">
        <v>940</v>
      </c>
      <c r="AT28" s="9" t="s">
        <v>691</v>
      </c>
      <c r="AU28" s="9" t="s">
        <v>941</v>
      </c>
      <c r="AV28" s="9" t="s">
        <v>193</v>
      </c>
      <c r="AW28" s="9" t="s">
        <v>194</v>
      </c>
      <c r="AX28" s="9" t="s">
        <v>195</v>
      </c>
      <c r="AY28" s="9" t="s">
        <v>942</v>
      </c>
      <c r="AZ28" s="9" t="s">
        <v>943</v>
      </c>
      <c r="BA28" s="9" t="s">
        <v>944</v>
      </c>
      <c r="BB28" s="9" t="s">
        <v>199</v>
      </c>
      <c r="BC28" s="9" t="s">
        <v>200</v>
      </c>
      <c r="BD28" s="9" t="s">
        <v>201</v>
      </c>
      <c r="BE28" s="9" t="s">
        <v>202</v>
      </c>
      <c r="BF28" s="9" t="s">
        <v>945</v>
      </c>
      <c r="BG28" s="9" t="s">
        <v>946</v>
      </c>
      <c r="BH28" s="9" t="s">
        <v>205</v>
      </c>
      <c r="BI28" s="9" t="s">
        <v>698</v>
      </c>
      <c r="BJ28" s="9" t="s">
        <v>207</v>
      </c>
      <c r="BK28" s="9" t="s">
        <v>208</v>
      </c>
      <c r="BL28" s="9" t="s">
        <v>209</v>
      </c>
      <c r="BM28" s="9" t="s">
        <v>210</v>
      </c>
    </row>
    <row r="29" customFormat="false" ht="216" hidden="false" customHeight="true" outlineLevel="0" collapsed="false">
      <c r="A29" s="9" t="s">
        <v>947</v>
      </c>
      <c r="B29" s="9" t="s">
        <v>316</v>
      </c>
      <c r="C29" s="9" t="s">
        <v>730</v>
      </c>
      <c r="D29" s="9" t="s">
        <v>663</v>
      </c>
      <c r="E29" s="9" t="s">
        <v>701</v>
      </c>
      <c r="F29" s="9" t="s">
        <v>948</v>
      </c>
      <c r="G29" s="9" t="s">
        <v>949</v>
      </c>
      <c r="H29" s="9" t="s">
        <v>950</v>
      </c>
      <c r="I29" s="9" t="s">
        <v>951</v>
      </c>
      <c r="J29" s="9" t="s">
        <v>254</v>
      </c>
      <c r="K29" s="9" t="s">
        <v>952</v>
      </c>
      <c r="L29" s="9" t="s">
        <v>953</v>
      </c>
      <c r="M29" s="9" t="s">
        <v>954</v>
      </c>
      <c r="N29" s="9" t="s">
        <v>955</v>
      </c>
      <c r="O29" s="9" t="s">
        <v>771</v>
      </c>
      <c r="P29" s="9" t="s">
        <v>674</v>
      </c>
      <c r="Q29" s="9" t="s">
        <v>956</v>
      </c>
      <c r="R29" s="9" t="s">
        <v>957</v>
      </c>
      <c r="S29" s="9" t="s">
        <v>262</v>
      </c>
      <c r="T29" s="9" t="s">
        <v>172</v>
      </c>
      <c r="U29" s="9" t="s">
        <v>173</v>
      </c>
      <c r="V29" s="9" t="s">
        <v>174</v>
      </c>
      <c r="W29" s="9" t="s">
        <v>958</v>
      </c>
      <c r="X29" s="9" t="s">
        <v>959</v>
      </c>
      <c r="Y29" s="9" t="s">
        <v>960</v>
      </c>
      <c r="Z29" s="9" t="s">
        <v>228</v>
      </c>
      <c r="AA29" s="9" t="s">
        <v>361</v>
      </c>
      <c r="AB29" s="9" t="s">
        <v>180</v>
      </c>
      <c r="AC29" s="9" t="s">
        <v>663</v>
      </c>
      <c r="AD29" s="9" t="s">
        <v>674</v>
      </c>
      <c r="AE29" s="9" t="s">
        <v>961</v>
      </c>
      <c r="AF29" s="9" t="s">
        <v>962</v>
      </c>
      <c r="AG29" s="9" t="s">
        <v>963</v>
      </c>
      <c r="AH29" s="9" t="s">
        <v>964</v>
      </c>
      <c r="AI29" s="9" t="s">
        <v>956</v>
      </c>
      <c r="AJ29" s="9" t="s">
        <v>950</v>
      </c>
      <c r="AK29" s="9" t="s">
        <v>234</v>
      </c>
      <c r="AL29" s="9" t="s">
        <v>235</v>
      </c>
      <c r="AM29" s="9" t="s">
        <v>701</v>
      </c>
      <c r="AN29" s="9" t="s">
        <v>316</v>
      </c>
      <c r="AO29" s="9" t="s">
        <v>965</v>
      </c>
      <c r="AP29" s="9" t="s">
        <v>966</v>
      </c>
      <c r="AQ29" s="9" t="s">
        <v>967</v>
      </c>
      <c r="AR29" s="9" t="s">
        <v>968</v>
      </c>
      <c r="AS29" s="9" t="s">
        <v>969</v>
      </c>
      <c r="AT29" s="9" t="s">
        <v>691</v>
      </c>
      <c r="AU29" s="9" t="s">
        <v>970</v>
      </c>
      <c r="AV29" s="9" t="s">
        <v>193</v>
      </c>
      <c r="AW29" s="9" t="s">
        <v>194</v>
      </c>
      <c r="AX29" s="9" t="s">
        <v>195</v>
      </c>
      <c r="AY29" s="9" t="s">
        <v>971</v>
      </c>
      <c r="AZ29" s="9" t="s">
        <v>972</v>
      </c>
      <c r="BA29" s="9" t="s">
        <v>973</v>
      </c>
      <c r="BB29" s="9" t="s">
        <v>199</v>
      </c>
      <c r="BC29" s="9" t="s">
        <v>200</v>
      </c>
      <c r="BD29" s="9" t="s">
        <v>201</v>
      </c>
      <c r="BE29" s="9" t="s">
        <v>202</v>
      </c>
      <c r="BF29" s="9" t="s">
        <v>974</v>
      </c>
      <c r="BG29" s="9" t="s">
        <v>975</v>
      </c>
      <c r="BH29" s="9" t="s">
        <v>205</v>
      </c>
      <c r="BI29" s="9" t="s">
        <v>698</v>
      </c>
      <c r="BJ29" s="9" t="s">
        <v>207</v>
      </c>
      <c r="BK29" s="9" t="s">
        <v>208</v>
      </c>
      <c r="BL29" s="9" t="s">
        <v>209</v>
      </c>
      <c r="BM29" s="9" t="s">
        <v>210</v>
      </c>
    </row>
    <row r="30" customFormat="false" ht="229.5" hidden="false" customHeight="true" outlineLevel="0" collapsed="false">
      <c r="A30" s="9" t="s">
        <v>976</v>
      </c>
      <c r="B30" s="9" t="s">
        <v>154</v>
      </c>
      <c r="C30" s="9" t="s">
        <v>730</v>
      </c>
      <c r="D30" s="9" t="s">
        <v>663</v>
      </c>
      <c r="E30" s="9" t="s">
        <v>762</v>
      </c>
      <c r="F30" s="9" t="s">
        <v>977</v>
      </c>
      <c r="G30" s="9" t="s">
        <v>978</v>
      </c>
      <c r="H30" s="9" t="s">
        <v>979</v>
      </c>
      <c r="I30" s="9" t="s">
        <v>980</v>
      </c>
      <c r="J30" s="9" t="s">
        <v>254</v>
      </c>
      <c r="K30" s="9" t="s">
        <v>981</v>
      </c>
      <c r="L30" s="9" t="s">
        <v>982</v>
      </c>
      <c r="M30" s="9" t="s">
        <v>983</v>
      </c>
      <c r="N30" s="9" t="s">
        <v>984</v>
      </c>
      <c r="O30" s="9" t="s">
        <v>985</v>
      </c>
      <c r="P30" s="9" t="s">
        <v>674</v>
      </c>
      <c r="Q30" s="9" t="s">
        <v>986</v>
      </c>
      <c r="R30" s="9" t="s">
        <v>987</v>
      </c>
      <c r="S30" s="9" t="s">
        <v>262</v>
      </c>
      <c r="T30" s="9" t="s">
        <v>172</v>
      </c>
      <c r="U30" s="9" t="s">
        <v>173</v>
      </c>
      <c r="V30" s="9" t="s">
        <v>174</v>
      </c>
      <c r="W30" s="9" t="s">
        <v>476</v>
      </c>
      <c r="X30" s="9" t="s">
        <v>988</v>
      </c>
      <c r="Y30" s="9" t="s">
        <v>989</v>
      </c>
      <c r="Z30" s="9" t="s">
        <v>228</v>
      </c>
      <c r="AA30" s="9" t="s">
        <v>479</v>
      </c>
      <c r="AB30" s="9" t="s">
        <v>230</v>
      </c>
      <c r="AC30" s="9" t="s">
        <v>663</v>
      </c>
      <c r="AD30" s="9" t="s">
        <v>674</v>
      </c>
      <c r="AE30" s="9" t="s">
        <v>745</v>
      </c>
      <c r="AF30" s="9" t="s">
        <v>746</v>
      </c>
      <c r="AG30" s="9" t="s">
        <v>747</v>
      </c>
      <c r="AH30" s="9" t="s">
        <v>748</v>
      </c>
      <c r="AI30" s="9" t="s">
        <v>986</v>
      </c>
      <c r="AJ30" s="9" t="s">
        <v>979</v>
      </c>
      <c r="AK30" s="9" t="s">
        <v>184</v>
      </c>
      <c r="AL30" s="9" t="s">
        <v>990</v>
      </c>
      <c r="AM30" s="9" t="s">
        <v>762</v>
      </c>
      <c r="AN30" s="9" t="s">
        <v>154</v>
      </c>
      <c r="AO30" s="9" t="s">
        <v>991</v>
      </c>
      <c r="AP30" s="9" t="s">
        <v>992</v>
      </c>
      <c r="AQ30" s="9" t="s">
        <v>993</v>
      </c>
      <c r="AR30" s="9" t="s">
        <v>994</v>
      </c>
      <c r="AS30" s="9" t="s">
        <v>995</v>
      </c>
      <c r="AT30" s="9" t="s">
        <v>691</v>
      </c>
      <c r="AU30" s="9" t="s">
        <v>996</v>
      </c>
      <c r="AV30" s="9" t="s">
        <v>193</v>
      </c>
      <c r="AW30" s="9" t="s">
        <v>194</v>
      </c>
      <c r="AX30" s="9" t="s">
        <v>195</v>
      </c>
      <c r="AY30" s="9" t="s">
        <v>997</v>
      </c>
      <c r="AZ30" s="9" t="s">
        <v>998</v>
      </c>
      <c r="BA30" s="9" t="s">
        <v>999</v>
      </c>
      <c r="BB30" s="9" t="s">
        <v>199</v>
      </c>
      <c r="BC30" s="9" t="s">
        <v>200</v>
      </c>
      <c r="BD30" s="9" t="s">
        <v>201</v>
      </c>
      <c r="BE30" s="9" t="s">
        <v>202</v>
      </c>
      <c r="BF30" s="9" t="s">
        <v>1000</v>
      </c>
      <c r="BG30" s="9" t="s">
        <v>1001</v>
      </c>
      <c r="BH30" s="9" t="s">
        <v>205</v>
      </c>
      <c r="BI30" s="9" t="s">
        <v>818</v>
      </c>
      <c r="BJ30" s="9" t="s">
        <v>207</v>
      </c>
      <c r="BK30" s="9" t="s">
        <v>208</v>
      </c>
      <c r="BL30" s="9" t="s">
        <v>209</v>
      </c>
      <c r="BM30" s="9" t="s">
        <v>210</v>
      </c>
    </row>
    <row r="31" customFormat="false" ht="229.5" hidden="false" customHeight="true" outlineLevel="0" collapsed="false">
      <c r="A31" s="9" t="s">
        <v>1002</v>
      </c>
      <c r="B31" s="9" t="s">
        <v>212</v>
      </c>
      <c r="C31" s="9" t="s">
        <v>662</v>
      </c>
      <c r="D31" s="9" t="s">
        <v>663</v>
      </c>
      <c r="E31" s="9" t="s">
        <v>664</v>
      </c>
      <c r="F31" s="9" t="s">
        <v>1003</v>
      </c>
      <c r="G31" s="9" t="s">
        <v>1004</v>
      </c>
      <c r="H31" s="9"/>
      <c r="I31" s="9" t="s">
        <v>1005</v>
      </c>
      <c r="J31" s="9" t="s">
        <v>1006</v>
      </c>
      <c r="K31" s="9" t="s">
        <v>1007</v>
      </c>
      <c r="L31" s="9" t="s">
        <v>1008</v>
      </c>
      <c r="M31" s="9" t="s">
        <v>1009</v>
      </c>
      <c r="N31" s="9" t="s">
        <v>558</v>
      </c>
      <c r="O31" s="9" t="s">
        <v>740</v>
      </c>
      <c r="P31" s="9" t="s">
        <v>674</v>
      </c>
      <c r="Q31" s="9" t="s">
        <v>559</v>
      </c>
      <c r="R31" s="9" t="s">
        <v>560</v>
      </c>
      <c r="S31" s="9" t="s">
        <v>561</v>
      </c>
      <c r="T31" s="9" t="s">
        <v>562</v>
      </c>
      <c r="U31" s="9" t="s">
        <v>173</v>
      </c>
      <c r="V31" s="9" t="s">
        <v>174</v>
      </c>
      <c r="W31" s="9" t="s">
        <v>603</v>
      </c>
      <c r="X31" s="9" t="s">
        <v>1004</v>
      </c>
      <c r="Y31" s="9" t="s">
        <v>1010</v>
      </c>
      <c r="Z31" s="9" t="s">
        <v>228</v>
      </c>
      <c r="AA31" s="9" t="s">
        <v>361</v>
      </c>
      <c r="AB31" s="9" t="s">
        <v>230</v>
      </c>
      <c r="AC31" s="9" t="s">
        <v>663</v>
      </c>
      <c r="AD31" s="9" t="s">
        <v>674</v>
      </c>
      <c r="AE31" s="9" t="s">
        <v>1003</v>
      </c>
      <c r="AF31" s="9" t="s">
        <v>1011</v>
      </c>
      <c r="AG31" s="9" t="s">
        <v>1012</v>
      </c>
      <c r="AH31" s="9" t="s">
        <v>1013</v>
      </c>
      <c r="AI31" s="9" t="s">
        <v>799</v>
      </c>
      <c r="AJ31" s="9" t="s">
        <v>793</v>
      </c>
      <c r="AK31" s="9" t="s">
        <v>234</v>
      </c>
      <c r="AL31" s="9" t="s">
        <v>235</v>
      </c>
      <c r="AM31" s="9" t="s">
        <v>664</v>
      </c>
      <c r="AN31" s="9" t="s">
        <v>212</v>
      </c>
      <c r="AO31" s="9" t="s">
        <v>1014</v>
      </c>
      <c r="AP31" s="9" t="s">
        <v>1015</v>
      </c>
      <c r="AQ31" s="9" t="s">
        <v>1016</v>
      </c>
      <c r="AR31" s="9" t="s">
        <v>1006</v>
      </c>
      <c r="AS31" s="9" t="s">
        <v>1007</v>
      </c>
      <c r="AT31" s="9" t="s">
        <v>691</v>
      </c>
      <c r="AU31" s="9" t="s">
        <v>1008</v>
      </c>
      <c r="AV31" s="9" t="s">
        <v>193</v>
      </c>
      <c r="AW31" s="9" t="s">
        <v>194</v>
      </c>
      <c r="AX31" s="9" t="s">
        <v>195</v>
      </c>
      <c r="AY31" s="9" t="s">
        <v>1017</v>
      </c>
      <c r="AZ31" s="9" t="s">
        <v>1018</v>
      </c>
      <c r="BA31" s="9" t="s">
        <v>1019</v>
      </c>
      <c r="BB31" s="9" t="s">
        <v>199</v>
      </c>
      <c r="BC31" s="9" t="s">
        <v>200</v>
      </c>
      <c r="BD31" s="9" t="s">
        <v>201</v>
      </c>
      <c r="BE31" s="9" t="s">
        <v>202</v>
      </c>
      <c r="BF31" s="9" t="s">
        <v>1020</v>
      </c>
      <c r="BG31" s="9" t="s">
        <v>1021</v>
      </c>
      <c r="BH31" s="9" t="s">
        <v>205</v>
      </c>
      <c r="BI31" s="9" t="s">
        <v>818</v>
      </c>
      <c r="BJ31" s="9" t="s">
        <v>207</v>
      </c>
      <c r="BK31" s="9" t="s">
        <v>208</v>
      </c>
      <c r="BL31" s="9" t="s">
        <v>209</v>
      </c>
      <c r="BM31" s="9" t="s">
        <v>577</v>
      </c>
    </row>
    <row r="32" customFormat="false" ht="243" hidden="false" customHeight="true" outlineLevel="0" collapsed="false">
      <c r="A32" s="9" t="s">
        <v>1022</v>
      </c>
      <c r="B32" s="9" t="s">
        <v>154</v>
      </c>
      <c r="C32" s="9" t="s">
        <v>761</v>
      </c>
      <c r="D32" s="9" t="s">
        <v>663</v>
      </c>
      <c r="E32" s="9" t="s">
        <v>1023</v>
      </c>
      <c r="F32" s="9" t="s">
        <v>1024</v>
      </c>
      <c r="G32" s="9" t="s">
        <v>1025</v>
      </c>
      <c r="H32" s="9"/>
      <c r="I32" s="9" t="s">
        <v>1026</v>
      </c>
      <c r="J32" s="9" t="s">
        <v>1027</v>
      </c>
      <c r="K32" s="9" t="s">
        <v>1028</v>
      </c>
      <c r="L32" s="9" t="s">
        <v>1029</v>
      </c>
      <c r="M32" s="9" t="s">
        <v>1030</v>
      </c>
      <c r="N32" s="9" t="s">
        <v>558</v>
      </c>
      <c r="O32" s="9" t="s">
        <v>826</v>
      </c>
      <c r="P32" s="9" t="s">
        <v>674</v>
      </c>
      <c r="Q32" s="9" t="s">
        <v>559</v>
      </c>
      <c r="R32" s="9" t="s">
        <v>560</v>
      </c>
      <c r="S32" s="9" t="s">
        <v>561</v>
      </c>
      <c r="T32" s="9" t="s">
        <v>562</v>
      </c>
      <c r="U32" s="9" t="s">
        <v>173</v>
      </c>
      <c r="V32" s="9" t="s">
        <v>174</v>
      </c>
      <c r="W32" s="9" t="s">
        <v>263</v>
      </c>
      <c r="X32" s="9" t="s">
        <v>1025</v>
      </c>
      <c r="Y32" s="9" t="s">
        <v>1031</v>
      </c>
      <c r="Z32" s="9" t="s">
        <v>228</v>
      </c>
      <c r="AA32" s="9" t="s">
        <v>361</v>
      </c>
      <c r="AB32" s="9" t="s">
        <v>331</v>
      </c>
      <c r="AC32" s="9" t="s">
        <v>663</v>
      </c>
      <c r="AD32" s="9" t="s">
        <v>674</v>
      </c>
      <c r="AE32" s="9" t="s">
        <v>1024</v>
      </c>
      <c r="AF32" s="9" t="s">
        <v>1032</v>
      </c>
      <c r="AG32" s="9" t="s">
        <v>1033</v>
      </c>
      <c r="AH32" s="9" t="s">
        <v>1034</v>
      </c>
      <c r="AI32" s="9" t="s">
        <v>986</v>
      </c>
      <c r="AJ32" s="9" t="s">
        <v>979</v>
      </c>
      <c r="AK32" s="9" t="s">
        <v>184</v>
      </c>
      <c r="AL32" s="9" t="s">
        <v>1035</v>
      </c>
      <c r="AM32" s="9" t="s">
        <v>1023</v>
      </c>
      <c r="AN32" s="9" t="s">
        <v>154</v>
      </c>
      <c r="AO32" s="9" t="s">
        <v>1036</v>
      </c>
      <c r="AP32" s="9" t="s">
        <v>1037</v>
      </c>
      <c r="AQ32" s="9" t="s">
        <v>1038</v>
      </c>
      <c r="AR32" s="9" t="s">
        <v>1027</v>
      </c>
      <c r="AS32" s="9" t="s">
        <v>1028</v>
      </c>
      <c r="AT32" s="9" t="s">
        <v>691</v>
      </c>
      <c r="AU32" s="9" t="s">
        <v>1029</v>
      </c>
      <c r="AV32" s="9" t="s">
        <v>193</v>
      </c>
      <c r="AW32" s="9" t="s">
        <v>194</v>
      </c>
      <c r="AX32" s="9" t="s">
        <v>195</v>
      </c>
      <c r="AY32" s="9" t="s">
        <v>1039</v>
      </c>
      <c r="AZ32" s="9" t="s">
        <v>1040</v>
      </c>
      <c r="BA32" s="9" t="s">
        <v>1041</v>
      </c>
      <c r="BB32" s="9" t="s">
        <v>199</v>
      </c>
      <c r="BC32" s="9" t="s">
        <v>200</v>
      </c>
      <c r="BD32" s="9" t="s">
        <v>201</v>
      </c>
      <c r="BE32" s="9" t="s">
        <v>202</v>
      </c>
      <c r="BF32" s="9" t="s">
        <v>1042</v>
      </c>
      <c r="BG32" s="9" t="s">
        <v>1043</v>
      </c>
      <c r="BH32" s="9" t="s">
        <v>205</v>
      </c>
      <c r="BI32" s="9" t="s">
        <v>728</v>
      </c>
      <c r="BJ32" s="9" t="s">
        <v>207</v>
      </c>
      <c r="BK32" s="9" t="s">
        <v>208</v>
      </c>
      <c r="BL32" s="9" t="s">
        <v>209</v>
      </c>
      <c r="BM32" s="9" t="s">
        <v>577</v>
      </c>
    </row>
    <row r="33" customFormat="false" ht="216" hidden="false" customHeight="true" outlineLevel="0" collapsed="false">
      <c r="A33" s="9" t="s">
        <v>1044</v>
      </c>
      <c r="B33" s="9" t="s">
        <v>316</v>
      </c>
      <c r="C33" s="9" t="s">
        <v>922</v>
      </c>
      <c r="D33" s="9" t="s">
        <v>663</v>
      </c>
      <c r="E33" s="9" t="s">
        <v>731</v>
      </c>
      <c r="F33" s="9" t="s">
        <v>803</v>
      </c>
      <c r="G33" s="9" t="s">
        <v>1045</v>
      </c>
      <c r="H33" s="9"/>
      <c r="I33" s="9" t="s">
        <v>1046</v>
      </c>
      <c r="J33" s="9" t="s">
        <v>1047</v>
      </c>
      <c r="K33" s="9" t="s">
        <v>1048</v>
      </c>
      <c r="L33" s="9" t="s">
        <v>1049</v>
      </c>
      <c r="M33" s="9" t="s">
        <v>1050</v>
      </c>
      <c r="N33" s="9" t="s">
        <v>558</v>
      </c>
      <c r="O33" s="9" t="s">
        <v>740</v>
      </c>
      <c r="P33" s="9" t="s">
        <v>674</v>
      </c>
      <c r="Q33" s="9" t="s">
        <v>559</v>
      </c>
      <c r="R33" s="9" t="s">
        <v>560</v>
      </c>
      <c r="S33" s="9" t="s">
        <v>561</v>
      </c>
      <c r="T33" s="9" t="s">
        <v>562</v>
      </c>
      <c r="U33" s="9" t="s">
        <v>173</v>
      </c>
      <c r="V33" s="9" t="s">
        <v>174</v>
      </c>
      <c r="W33" s="9" t="s">
        <v>1051</v>
      </c>
      <c r="X33" s="9" t="s">
        <v>1045</v>
      </c>
      <c r="Y33" s="9" t="s">
        <v>1052</v>
      </c>
      <c r="Z33" s="9" t="s">
        <v>228</v>
      </c>
      <c r="AA33" s="9" t="s">
        <v>1053</v>
      </c>
      <c r="AB33" s="9" t="s">
        <v>331</v>
      </c>
      <c r="AC33" s="9" t="s">
        <v>663</v>
      </c>
      <c r="AD33" s="9" t="s">
        <v>674</v>
      </c>
      <c r="AE33" s="9" t="s">
        <v>803</v>
      </c>
      <c r="AF33" s="9" t="s">
        <v>1054</v>
      </c>
      <c r="AG33" s="9" t="s">
        <v>1055</v>
      </c>
      <c r="AH33" s="9" t="s">
        <v>1056</v>
      </c>
      <c r="AI33" s="9" t="s">
        <v>799</v>
      </c>
      <c r="AJ33" s="9" t="s">
        <v>793</v>
      </c>
      <c r="AK33" s="9" t="s">
        <v>184</v>
      </c>
      <c r="AL33" s="9" t="s">
        <v>1057</v>
      </c>
      <c r="AM33" s="9" t="s">
        <v>731</v>
      </c>
      <c r="AN33" s="9" t="s">
        <v>316</v>
      </c>
      <c r="AO33" s="9" t="s">
        <v>1058</v>
      </c>
      <c r="AP33" s="9" t="s">
        <v>1059</v>
      </c>
      <c r="AQ33" s="9" t="s">
        <v>1060</v>
      </c>
      <c r="AR33" s="9" t="s">
        <v>1047</v>
      </c>
      <c r="AS33" s="9" t="s">
        <v>1048</v>
      </c>
      <c r="AT33" s="9" t="s">
        <v>691</v>
      </c>
      <c r="AU33" s="9" t="s">
        <v>1049</v>
      </c>
      <c r="AV33" s="9" t="s">
        <v>193</v>
      </c>
      <c r="AW33" s="9" t="s">
        <v>194</v>
      </c>
      <c r="AX33" s="9" t="s">
        <v>195</v>
      </c>
      <c r="AY33" s="9" t="s">
        <v>1061</v>
      </c>
      <c r="AZ33" s="9" t="s">
        <v>1062</v>
      </c>
      <c r="BA33" s="9" t="s">
        <v>1063</v>
      </c>
      <c r="BB33" s="9" t="s">
        <v>199</v>
      </c>
      <c r="BC33" s="9" t="s">
        <v>200</v>
      </c>
      <c r="BD33" s="9" t="s">
        <v>201</v>
      </c>
      <c r="BE33" s="9" t="s">
        <v>202</v>
      </c>
      <c r="BF33" s="9" t="s">
        <v>1064</v>
      </c>
      <c r="BG33" s="9" t="s">
        <v>1065</v>
      </c>
      <c r="BH33" s="9" t="s">
        <v>205</v>
      </c>
      <c r="BI33" s="9" t="s">
        <v>818</v>
      </c>
      <c r="BJ33" s="9" t="s">
        <v>207</v>
      </c>
      <c r="BK33" s="9" t="s">
        <v>208</v>
      </c>
      <c r="BL33" s="9" t="s">
        <v>209</v>
      </c>
      <c r="BM33" s="9" t="s">
        <v>577</v>
      </c>
    </row>
    <row r="34" customFormat="false" ht="216" hidden="false" customHeight="true" outlineLevel="0" collapsed="false">
      <c r="A34" s="9" t="s">
        <v>1066</v>
      </c>
      <c r="B34" s="9" t="s">
        <v>154</v>
      </c>
      <c r="C34" s="9" t="s">
        <v>761</v>
      </c>
      <c r="D34" s="9" t="s">
        <v>663</v>
      </c>
      <c r="E34" s="9" t="s">
        <v>701</v>
      </c>
      <c r="F34" s="9" t="s">
        <v>158</v>
      </c>
      <c r="G34" s="9" t="s">
        <v>1067</v>
      </c>
      <c r="H34" s="9"/>
      <c r="I34" s="9" t="s">
        <v>1068</v>
      </c>
      <c r="J34" s="9" t="s">
        <v>1069</v>
      </c>
      <c r="K34" s="9" t="s">
        <v>1070</v>
      </c>
      <c r="L34" s="9" t="s">
        <v>1071</v>
      </c>
      <c r="M34" s="9" t="s">
        <v>1072</v>
      </c>
      <c r="N34" s="9" t="s">
        <v>558</v>
      </c>
      <c r="O34" s="9" t="s">
        <v>826</v>
      </c>
      <c r="P34" s="9" t="s">
        <v>674</v>
      </c>
      <c r="Q34" s="9" t="s">
        <v>559</v>
      </c>
      <c r="R34" s="9" t="s">
        <v>560</v>
      </c>
      <c r="S34" s="9" t="s">
        <v>561</v>
      </c>
      <c r="T34" s="9" t="s">
        <v>562</v>
      </c>
      <c r="U34" s="9" t="s">
        <v>173</v>
      </c>
      <c r="V34" s="9" t="s">
        <v>174</v>
      </c>
      <c r="W34" s="9" t="s">
        <v>476</v>
      </c>
      <c r="X34" s="9" t="s">
        <v>1067</v>
      </c>
      <c r="Y34" s="9" t="s">
        <v>1073</v>
      </c>
      <c r="Z34" s="9" t="s">
        <v>228</v>
      </c>
      <c r="AA34" s="9" t="s">
        <v>361</v>
      </c>
      <c r="AB34" s="9" t="s">
        <v>331</v>
      </c>
      <c r="AC34" s="9" t="s">
        <v>663</v>
      </c>
      <c r="AD34" s="9" t="s">
        <v>674</v>
      </c>
      <c r="AE34" s="9" t="s">
        <v>158</v>
      </c>
      <c r="AF34" s="9" t="s">
        <v>1074</v>
      </c>
      <c r="AG34" s="9" t="s">
        <v>1075</v>
      </c>
      <c r="AH34" s="9" t="s">
        <v>1076</v>
      </c>
      <c r="AI34" s="9" t="s">
        <v>986</v>
      </c>
      <c r="AJ34" s="9" t="s">
        <v>979</v>
      </c>
      <c r="AK34" s="9" t="s">
        <v>184</v>
      </c>
      <c r="AL34" s="9" t="s">
        <v>1077</v>
      </c>
      <c r="AM34" s="9" t="s">
        <v>701</v>
      </c>
      <c r="AN34" s="9" t="s">
        <v>154</v>
      </c>
      <c r="AO34" s="9" t="s">
        <v>1078</v>
      </c>
      <c r="AP34" s="9" t="s">
        <v>1079</v>
      </c>
      <c r="AQ34" s="9" t="s">
        <v>1080</v>
      </c>
      <c r="AR34" s="9" t="s">
        <v>1069</v>
      </c>
      <c r="AS34" s="9" t="s">
        <v>1070</v>
      </c>
      <c r="AT34" s="9" t="s">
        <v>691</v>
      </c>
      <c r="AU34" s="9" t="s">
        <v>1071</v>
      </c>
      <c r="AV34" s="9" t="s">
        <v>193</v>
      </c>
      <c r="AW34" s="9" t="s">
        <v>194</v>
      </c>
      <c r="AX34" s="9" t="s">
        <v>195</v>
      </c>
      <c r="AY34" s="9" t="s">
        <v>1081</v>
      </c>
      <c r="AZ34" s="9" t="s">
        <v>1082</v>
      </c>
      <c r="BA34" s="9" t="s">
        <v>1083</v>
      </c>
      <c r="BB34" s="9" t="s">
        <v>199</v>
      </c>
      <c r="BC34" s="9" t="s">
        <v>200</v>
      </c>
      <c r="BD34" s="9" t="s">
        <v>201</v>
      </c>
      <c r="BE34" s="9" t="s">
        <v>202</v>
      </c>
      <c r="BF34" s="9" t="s">
        <v>1084</v>
      </c>
      <c r="BG34" s="9" t="s">
        <v>1085</v>
      </c>
      <c r="BH34" s="9" t="s">
        <v>205</v>
      </c>
      <c r="BI34" s="9" t="s">
        <v>728</v>
      </c>
      <c r="BJ34" s="9" t="s">
        <v>207</v>
      </c>
      <c r="BK34" s="9" t="s">
        <v>208</v>
      </c>
      <c r="BL34" s="9" t="s">
        <v>209</v>
      </c>
      <c r="BM34" s="9" t="s">
        <v>577</v>
      </c>
    </row>
    <row r="35" customFormat="false" ht="243" hidden="false" customHeight="true" outlineLevel="0" collapsed="false">
      <c r="A35" s="9" t="s">
        <v>1086</v>
      </c>
      <c r="B35" s="9" t="s">
        <v>212</v>
      </c>
      <c r="C35" s="9" t="s">
        <v>761</v>
      </c>
      <c r="D35" s="9" t="s">
        <v>663</v>
      </c>
      <c r="E35" s="9" t="s">
        <v>701</v>
      </c>
      <c r="F35" s="9" t="s">
        <v>1087</v>
      </c>
      <c r="G35" s="9" t="s">
        <v>1088</v>
      </c>
      <c r="H35" s="9"/>
      <c r="I35" s="9" t="s">
        <v>1089</v>
      </c>
      <c r="J35" s="9" t="s">
        <v>1090</v>
      </c>
      <c r="K35" s="9" t="s">
        <v>1091</v>
      </c>
      <c r="L35" s="9" t="s">
        <v>1092</v>
      </c>
      <c r="M35" s="9" t="s">
        <v>1093</v>
      </c>
      <c r="N35" s="9" t="s">
        <v>558</v>
      </c>
      <c r="O35" s="9" t="s">
        <v>1094</v>
      </c>
      <c r="P35" s="9" t="s">
        <v>674</v>
      </c>
      <c r="Q35" s="9" t="s">
        <v>559</v>
      </c>
      <c r="R35" s="9" t="s">
        <v>560</v>
      </c>
      <c r="S35" s="9" t="s">
        <v>561</v>
      </c>
      <c r="T35" s="9" t="s">
        <v>562</v>
      </c>
      <c r="U35" s="9" t="s">
        <v>173</v>
      </c>
      <c r="V35" s="9" t="s">
        <v>174</v>
      </c>
      <c r="W35" s="9" t="s">
        <v>603</v>
      </c>
      <c r="X35" s="9" t="s">
        <v>1088</v>
      </c>
      <c r="Y35" s="9" t="s">
        <v>1095</v>
      </c>
      <c r="Z35" s="9" t="s">
        <v>228</v>
      </c>
      <c r="AA35" s="9" t="s">
        <v>361</v>
      </c>
      <c r="AB35" s="9" t="s">
        <v>230</v>
      </c>
      <c r="AC35" s="9" t="s">
        <v>663</v>
      </c>
      <c r="AD35" s="9" t="s">
        <v>674</v>
      </c>
      <c r="AE35" s="9" t="s">
        <v>1087</v>
      </c>
      <c r="AF35" s="9" t="s">
        <v>480</v>
      </c>
      <c r="AG35" s="9" t="s">
        <v>481</v>
      </c>
      <c r="AH35" s="9" t="s">
        <v>481</v>
      </c>
      <c r="AI35" s="9" t="s">
        <v>799</v>
      </c>
      <c r="AJ35" s="9" t="s">
        <v>793</v>
      </c>
      <c r="AK35" s="9" t="s">
        <v>482</v>
      </c>
      <c r="AL35" s="9" t="s">
        <v>483</v>
      </c>
      <c r="AM35" s="9" t="s">
        <v>701</v>
      </c>
      <c r="AN35" s="9" t="s">
        <v>212</v>
      </c>
      <c r="AO35" s="9" t="s">
        <v>1096</v>
      </c>
      <c r="AP35" s="9" t="s">
        <v>1097</v>
      </c>
      <c r="AQ35" s="9" t="s">
        <v>1098</v>
      </c>
      <c r="AR35" s="9" t="s">
        <v>1090</v>
      </c>
      <c r="AS35" s="9" t="s">
        <v>1091</v>
      </c>
      <c r="AT35" s="9" t="s">
        <v>691</v>
      </c>
      <c r="AU35" s="9" t="s">
        <v>1092</v>
      </c>
      <c r="AV35" s="9" t="s">
        <v>193</v>
      </c>
      <c r="AW35" s="9" t="s">
        <v>194</v>
      </c>
      <c r="AX35" s="9" t="s">
        <v>195</v>
      </c>
      <c r="AY35" s="9" t="s">
        <v>1099</v>
      </c>
      <c r="AZ35" s="9" t="s">
        <v>1100</v>
      </c>
      <c r="BA35" s="9" t="s">
        <v>1101</v>
      </c>
      <c r="BB35" s="9" t="s">
        <v>199</v>
      </c>
      <c r="BC35" s="9" t="s">
        <v>200</v>
      </c>
      <c r="BD35" s="9" t="s">
        <v>201</v>
      </c>
      <c r="BE35" s="9" t="s">
        <v>202</v>
      </c>
      <c r="BF35" s="9" t="s">
        <v>1102</v>
      </c>
      <c r="BG35" s="9" t="s">
        <v>1103</v>
      </c>
      <c r="BH35" s="9" t="s">
        <v>205</v>
      </c>
      <c r="BI35" s="9" t="s">
        <v>728</v>
      </c>
      <c r="BJ35" s="9" t="s">
        <v>207</v>
      </c>
      <c r="BK35" s="9" t="s">
        <v>208</v>
      </c>
      <c r="BL35" s="9" t="s">
        <v>209</v>
      </c>
      <c r="BM35" s="9" t="s">
        <v>577</v>
      </c>
    </row>
    <row r="36" customFormat="false" ht="202.5" hidden="false" customHeight="true" outlineLevel="0" collapsed="false">
      <c r="A36" s="9" t="s">
        <v>1104</v>
      </c>
      <c r="B36" s="9" t="s">
        <v>154</v>
      </c>
      <c r="C36" s="9" t="s">
        <v>1105</v>
      </c>
      <c r="D36" s="9" t="s">
        <v>1106</v>
      </c>
      <c r="E36" s="9" t="s">
        <v>1107</v>
      </c>
      <c r="F36" s="9" t="s">
        <v>1108</v>
      </c>
      <c r="G36" s="9" t="s">
        <v>1109</v>
      </c>
      <c r="H36" s="9" t="s">
        <v>1110</v>
      </c>
      <c r="I36" s="9" t="s">
        <v>1111</v>
      </c>
      <c r="J36" s="9" t="s">
        <v>1112</v>
      </c>
      <c r="K36" s="9" t="s">
        <v>1113</v>
      </c>
      <c r="L36" s="9" t="s">
        <v>1114</v>
      </c>
      <c r="M36" s="9" t="s">
        <v>1115</v>
      </c>
      <c r="N36" s="9" t="s">
        <v>166</v>
      </c>
      <c r="O36" s="9" t="s">
        <v>1116</v>
      </c>
      <c r="P36" s="9" t="s">
        <v>1117</v>
      </c>
      <c r="Q36" s="9" t="s">
        <v>1118</v>
      </c>
      <c r="R36" s="9" t="s">
        <v>170</v>
      </c>
      <c r="S36" s="9" t="s">
        <v>171</v>
      </c>
      <c r="T36" s="9" t="s">
        <v>172</v>
      </c>
      <c r="U36" s="9" t="s">
        <v>173</v>
      </c>
      <c r="V36" s="9" t="s">
        <v>174</v>
      </c>
      <c r="W36" s="9" t="s">
        <v>1119</v>
      </c>
      <c r="X36" s="9" t="s">
        <v>1120</v>
      </c>
      <c r="Y36" s="9" t="s">
        <v>1121</v>
      </c>
      <c r="Z36" s="9" t="s">
        <v>1122</v>
      </c>
      <c r="AA36" s="9" t="s">
        <v>1123</v>
      </c>
      <c r="AB36" s="9" t="s">
        <v>180</v>
      </c>
      <c r="AC36" s="9" t="s">
        <v>1106</v>
      </c>
      <c r="AD36" s="9" t="s">
        <v>1117</v>
      </c>
      <c r="AE36" s="9" t="s">
        <v>1124</v>
      </c>
      <c r="AF36" s="9" t="s">
        <v>1125</v>
      </c>
      <c r="AG36" s="9" t="s">
        <v>1126</v>
      </c>
      <c r="AH36" s="9" t="s">
        <v>1110</v>
      </c>
      <c r="AI36" s="9" t="s">
        <v>1127</v>
      </c>
      <c r="AJ36" s="9" t="s">
        <v>1128</v>
      </c>
      <c r="AK36" s="9" t="s">
        <v>234</v>
      </c>
      <c r="AL36" s="9" t="s">
        <v>235</v>
      </c>
      <c r="AM36" s="9" t="s">
        <v>1107</v>
      </c>
      <c r="AN36" s="9" t="s">
        <v>154</v>
      </c>
      <c r="AO36" s="9" t="s">
        <v>1129</v>
      </c>
      <c r="AP36" s="9" t="s">
        <v>1130</v>
      </c>
      <c r="AQ36" s="9" t="s">
        <v>1131</v>
      </c>
      <c r="AR36" s="9" t="s">
        <v>1132</v>
      </c>
      <c r="AS36" s="9" t="s">
        <v>1133</v>
      </c>
      <c r="AT36" s="9" t="s">
        <v>1134</v>
      </c>
      <c r="AU36" s="9" t="s">
        <v>1135</v>
      </c>
      <c r="AV36" s="9" t="s">
        <v>193</v>
      </c>
      <c r="AW36" s="9" t="s">
        <v>194</v>
      </c>
      <c r="AX36" s="9" t="s">
        <v>195</v>
      </c>
      <c r="AY36" s="9" t="s">
        <v>1136</v>
      </c>
      <c r="AZ36" s="9" t="s">
        <v>1137</v>
      </c>
      <c r="BA36" s="9" t="s">
        <v>1138</v>
      </c>
      <c r="BB36" s="9" t="s">
        <v>199</v>
      </c>
      <c r="BC36" s="9" t="s">
        <v>200</v>
      </c>
      <c r="BD36" s="9" t="s">
        <v>201</v>
      </c>
      <c r="BE36" s="9" t="s">
        <v>202</v>
      </c>
      <c r="BF36" s="9" t="s">
        <v>1139</v>
      </c>
      <c r="BG36" s="9" t="s">
        <v>1140</v>
      </c>
      <c r="BH36" s="9" t="s">
        <v>205</v>
      </c>
      <c r="BI36" s="9" t="s">
        <v>521</v>
      </c>
      <c r="BJ36" s="9" t="s">
        <v>207</v>
      </c>
      <c r="BK36" s="9" t="s">
        <v>208</v>
      </c>
      <c r="BL36" s="9" t="s">
        <v>209</v>
      </c>
      <c r="BM36" s="9" t="s">
        <v>210</v>
      </c>
    </row>
    <row r="37" customFormat="false" ht="202.5" hidden="false" customHeight="true" outlineLevel="0" collapsed="false">
      <c r="A37" s="9" t="s">
        <v>1141</v>
      </c>
      <c r="B37" s="9" t="s">
        <v>154</v>
      </c>
      <c r="C37" s="9" t="s">
        <v>1142</v>
      </c>
      <c r="D37" s="9" t="s">
        <v>1106</v>
      </c>
      <c r="E37" s="9" t="s">
        <v>1143</v>
      </c>
      <c r="F37" s="9" t="s">
        <v>745</v>
      </c>
      <c r="G37" s="9" t="s">
        <v>1144</v>
      </c>
      <c r="H37" s="9" t="s">
        <v>1145</v>
      </c>
      <c r="I37" s="9" t="s">
        <v>1146</v>
      </c>
      <c r="J37" s="9" t="s">
        <v>1147</v>
      </c>
      <c r="K37" s="9" t="s">
        <v>1148</v>
      </c>
      <c r="L37" s="9" t="s">
        <v>1149</v>
      </c>
      <c r="M37" s="9" t="s">
        <v>1150</v>
      </c>
      <c r="N37" s="9" t="s">
        <v>166</v>
      </c>
      <c r="O37" s="9" t="s">
        <v>1151</v>
      </c>
      <c r="P37" s="9" t="s">
        <v>1117</v>
      </c>
      <c r="Q37" s="9" t="s">
        <v>1152</v>
      </c>
      <c r="R37" s="9" t="s">
        <v>170</v>
      </c>
      <c r="S37" s="9" t="s">
        <v>171</v>
      </c>
      <c r="T37" s="9" t="s">
        <v>172</v>
      </c>
      <c r="U37" s="9" t="s">
        <v>173</v>
      </c>
      <c r="V37" s="9" t="s">
        <v>174</v>
      </c>
      <c r="W37" s="9" t="s">
        <v>387</v>
      </c>
      <c r="X37" s="9" t="s">
        <v>1153</v>
      </c>
      <c r="Y37" s="9" t="s">
        <v>1154</v>
      </c>
      <c r="Z37" s="9" t="s">
        <v>537</v>
      </c>
      <c r="AA37" s="9" t="s">
        <v>1155</v>
      </c>
      <c r="AB37" s="9" t="s">
        <v>331</v>
      </c>
      <c r="AC37" s="9" t="s">
        <v>1106</v>
      </c>
      <c r="AD37" s="9" t="s">
        <v>1117</v>
      </c>
      <c r="AE37" s="9" t="s">
        <v>745</v>
      </c>
      <c r="AF37" s="9" t="s">
        <v>1156</v>
      </c>
      <c r="AG37" s="9" t="s">
        <v>1157</v>
      </c>
      <c r="AH37" s="9" t="s">
        <v>1158</v>
      </c>
      <c r="AI37" s="9" t="s">
        <v>1152</v>
      </c>
      <c r="AJ37" s="9" t="s">
        <v>1159</v>
      </c>
      <c r="AK37" s="9" t="s">
        <v>234</v>
      </c>
      <c r="AL37" s="9" t="s">
        <v>235</v>
      </c>
      <c r="AM37" s="9" t="s">
        <v>1143</v>
      </c>
      <c r="AN37" s="9" t="s">
        <v>154</v>
      </c>
      <c r="AO37" s="9" t="s">
        <v>1160</v>
      </c>
      <c r="AP37" s="9" t="s">
        <v>1161</v>
      </c>
      <c r="AQ37" s="9" t="s">
        <v>1162</v>
      </c>
      <c r="AR37" s="9" t="s">
        <v>1163</v>
      </c>
      <c r="AS37" s="9" t="s">
        <v>1164</v>
      </c>
      <c r="AT37" s="9" t="s">
        <v>1134</v>
      </c>
      <c r="AU37" s="9" t="s">
        <v>1165</v>
      </c>
      <c r="AV37" s="9" t="s">
        <v>193</v>
      </c>
      <c r="AW37" s="9" t="s">
        <v>194</v>
      </c>
      <c r="AX37" s="9" t="s">
        <v>195</v>
      </c>
      <c r="AY37" s="9" t="s">
        <v>1166</v>
      </c>
      <c r="AZ37" s="9" t="s">
        <v>1167</v>
      </c>
      <c r="BA37" s="9" t="s">
        <v>1168</v>
      </c>
      <c r="BB37" s="9" t="s">
        <v>199</v>
      </c>
      <c r="BC37" s="9" t="s">
        <v>200</v>
      </c>
      <c r="BD37" s="9" t="s">
        <v>201</v>
      </c>
      <c r="BE37" s="9" t="s">
        <v>202</v>
      </c>
      <c r="BF37" s="9" t="s">
        <v>758</v>
      </c>
      <c r="BG37" s="9" t="s">
        <v>1169</v>
      </c>
      <c r="BH37" s="9" t="s">
        <v>205</v>
      </c>
      <c r="BI37" s="9" t="s">
        <v>1170</v>
      </c>
      <c r="BJ37" s="9" t="s">
        <v>207</v>
      </c>
      <c r="BK37" s="9" t="s">
        <v>208</v>
      </c>
      <c r="BL37" s="9" t="s">
        <v>209</v>
      </c>
      <c r="BM37" s="9" t="s">
        <v>210</v>
      </c>
    </row>
    <row r="38" customFormat="false" ht="229.5" hidden="false" customHeight="true" outlineLevel="0" collapsed="false">
      <c r="A38" s="9" t="s">
        <v>1171</v>
      </c>
      <c r="B38" s="9" t="s">
        <v>212</v>
      </c>
      <c r="C38" s="9" t="s">
        <v>1105</v>
      </c>
      <c r="D38" s="9" t="s">
        <v>1106</v>
      </c>
      <c r="E38" s="9" t="s">
        <v>1172</v>
      </c>
      <c r="F38" s="9" t="s">
        <v>1173</v>
      </c>
      <c r="G38" s="9" t="s">
        <v>1174</v>
      </c>
      <c r="H38" s="9" t="s">
        <v>1159</v>
      </c>
      <c r="I38" s="9" t="s">
        <v>1175</v>
      </c>
      <c r="J38" s="9" t="s">
        <v>254</v>
      </c>
      <c r="K38" s="9" t="s">
        <v>1176</v>
      </c>
      <c r="L38" s="9" t="s">
        <v>1177</v>
      </c>
      <c r="M38" s="9" t="s">
        <v>1178</v>
      </c>
      <c r="N38" s="9" t="s">
        <v>1179</v>
      </c>
      <c r="O38" s="9" t="s">
        <v>1180</v>
      </c>
      <c r="P38" s="9" t="s">
        <v>1117</v>
      </c>
      <c r="Q38" s="9" t="s">
        <v>1152</v>
      </c>
      <c r="R38" s="9" t="s">
        <v>1181</v>
      </c>
      <c r="S38" s="9" t="s">
        <v>262</v>
      </c>
      <c r="T38" s="9" t="s">
        <v>172</v>
      </c>
      <c r="U38" s="9" t="s">
        <v>173</v>
      </c>
      <c r="V38" s="9" t="s">
        <v>174</v>
      </c>
      <c r="W38" s="9" t="s">
        <v>387</v>
      </c>
      <c r="X38" s="9" t="s">
        <v>1182</v>
      </c>
      <c r="Y38" s="9" t="s">
        <v>1183</v>
      </c>
      <c r="Z38" s="9" t="s">
        <v>228</v>
      </c>
      <c r="AA38" s="9" t="s">
        <v>361</v>
      </c>
      <c r="AB38" s="9" t="s">
        <v>331</v>
      </c>
      <c r="AC38" s="9" t="s">
        <v>1106</v>
      </c>
      <c r="AD38" s="9" t="s">
        <v>1117</v>
      </c>
      <c r="AE38" s="9" t="s">
        <v>745</v>
      </c>
      <c r="AF38" s="9" t="s">
        <v>1156</v>
      </c>
      <c r="AG38" s="9" t="s">
        <v>1157</v>
      </c>
      <c r="AH38" s="9" t="s">
        <v>1158</v>
      </c>
      <c r="AI38" s="9" t="s">
        <v>1152</v>
      </c>
      <c r="AJ38" s="9" t="s">
        <v>1159</v>
      </c>
      <c r="AK38" s="9" t="s">
        <v>234</v>
      </c>
      <c r="AL38" s="9" t="s">
        <v>235</v>
      </c>
      <c r="AM38" s="9" t="s">
        <v>1172</v>
      </c>
      <c r="AN38" s="9" t="s">
        <v>212</v>
      </c>
      <c r="AO38" s="9" t="s">
        <v>1184</v>
      </c>
      <c r="AP38" s="9" t="s">
        <v>1185</v>
      </c>
      <c r="AQ38" s="9" t="s">
        <v>1186</v>
      </c>
      <c r="AR38" s="9" t="s">
        <v>1187</v>
      </c>
      <c r="AS38" s="9" t="s">
        <v>1188</v>
      </c>
      <c r="AT38" s="9" t="s">
        <v>1134</v>
      </c>
      <c r="AU38" s="9" t="s">
        <v>1189</v>
      </c>
      <c r="AV38" s="9" t="s">
        <v>193</v>
      </c>
      <c r="AW38" s="9" t="s">
        <v>194</v>
      </c>
      <c r="AX38" s="9" t="s">
        <v>195</v>
      </c>
      <c r="AY38" s="9" t="s">
        <v>1190</v>
      </c>
      <c r="AZ38" s="9" t="s">
        <v>1191</v>
      </c>
      <c r="BA38" s="9" t="s">
        <v>1192</v>
      </c>
      <c r="BB38" s="9" t="s">
        <v>199</v>
      </c>
      <c r="BC38" s="9" t="s">
        <v>200</v>
      </c>
      <c r="BD38" s="9" t="s">
        <v>201</v>
      </c>
      <c r="BE38" s="9" t="s">
        <v>202</v>
      </c>
      <c r="BF38" s="9" t="s">
        <v>1193</v>
      </c>
      <c r="BG38" s="9" t="s">
        <v>1194</v>
      </c>
      <c r="BH38" s="9" t="s">
        <v>205</v>
      </c>
      <c r="BI38" s="9" t="s">
        <v>1170</v>
      </c>
      <c r="BJ38" s="9" t="s">
        <v>207</v>
      </c>
      <c r="BK38" s="9" t="s">
        <v>208</v>
      </c>
      <c r="BL38" s="9" t="s">
        <v>209</v>
      </c>
      <c r="BM38" s="9" t="s">
        <v>210</v>
      </c>
    </row>
    <row r="39" customFormat="false" ht="229.5" hidden="false" customHeight="true" outlineLevel="0" collapsed="false">
      <c r="A39" s="9" t="s">
        <v>1195</v>
      </c>
      <c r="B39" s="9" t="s">
        <v>212</v>
      </c>
      <c r="C39" s="9" t="s">
        <v>1196</v>
      </c>
      <c r="D39" s="9" t="s">
        <v>1106</v>
      </c>
      <c r="E39" s="9" t="s">
        <v>1197</v>
      </c>
      <c r="F39" s="9" t="s">
        <v>1198</v>
      </c>
      <c r="G39" s="9" t="s">
        <v>1199</v>
      </c>
      <c r="H39" s="9" t="s">
        <v>1128</v>
      </c>
      <c r="I39" s="9" t="s">
        <v>1200</v>
      </c>
      <c r="J39" s="9" t="s">
        <v>254</v>
      </c>
      <c r="K39" s="9" t="s">
        <v>1201</v>
      </c>
      <c r="L39" s="9" t="s">
        <v>1202</v>
      </c>
      <c r="M39" s="9" t="s">
        <v>1203</v>
      </c>
      <c r="N39" s="9" t="s">
        <v>1204</v>
      </c>
      <c r="O39" s="9" t="s">
        <v>1116</v>
      </c>
      <c r="P39" s="9" t="s">
        <v>1117</v>
      </c>
      <c r="Q39" s="9" t="s">
        <v>1127</v>
      </c>
      <c r="R39" s="9" t="s">
        <v>1205</v>
      </c>
      <c r="S39" s="9" t="s">
        <v>1206</v>
      </c>
      <c r="T39" s="9" t="s">
        <v>172</v>
      </c>
      <c r="U39" s="9" t="s">
        <v>173</v>
      </c>
      <c r="V39" s="9" t="s">
        <v>174</v>
      </c>
      <c r="W39" s="9" t="s">
        <v>295</v>
      </c>
      <c r="X39" s="9" t="s">
        <v>1207</v>
      </c>
      <c r="Y39" s="9" t="s">
        <v>1208</v>
      </c>
      <c r="Z39" s="9" t="s">
        <v>1122</v>
      </c>
      <c r="AA39" s="9" t="s">
        <v>361</v>
      </c>
      <c r="AB39" s="9" t="s">
        <v>230</v>
      </c>
      <c r="AC39" s="9" t="s">
        <v>1106</v>
      </c>
      <c r="AD39" s="9" t="s">
        <v>1117</v>
      </c>
      <c r="AE39" s="9" t="s">
        <v>1209</v>
      </c>
      <c r="AF39" s="9" t="s">
        <v>1210</v>
      </c>
      <c r="AG39" s="9" t="s">
        <v>1211</v>
      </c>
      <c r="AH39" s="9" t="s">
        <v>1212</v>
      </c>
      <c r="AI39" s="9" t="s">
        <v>1127</v>
      </c>
      <c r="AJ39" s="9" t="s">
        <v>1128</v>
      </c>
      <c r="AK39" s="9" t="s">
        <v>234</v>
      </c>
      <c r="AL39" s="9" t="s">
        <v>235</v>
      </c>
      <c r="AM39" s="9" t="s">
        <v>1197</v>
      </c>
      <c r="AN39" s="9" t="s">
        <v>212</v>
      </c>
      <c r="AO39" s="9" t="s">
        <v>1213</v>
      </c>
      <c r="AP39" s="9" t="s">
        <v>1214</v>
      </c>
      <c r="AQ39" s="9" t="s">
        <v>1215</v>
      </c>
      <c r="AR39" s="9" t="s">
        <v>1216</v>
      </c>
      <c r="AS39" s="9" t="s">
        <v>1217</v>
      </c>
      <c r="AT39" s="9" t="s">
        <v>1134</v>
      </c>
      <c r="AU39" s="9" t="s">
        <v>1218</v>
      </c>
      <c r="AV39" s="9" t="s">
        <v>193</v>
      </c>
      <c r="AW39" s="9" t="s">
        <v>194</v>
      </c>
      <c r="AX39" s="9" t="s">
        <v>195</v>
      </c>
      <c r="AY39" s="9" t="s">
        <v>1219</v>
      </c>
      <c r="AZ39" s="9" t="s">
        <v>1220</v>
      </c>
      <c r="BA39" s="9" t="s">
        <v>1221</v>
      </c>
      <c r="BB39" s="9" t="s">
        <v>199</v>
      </c>
      <c r="BC39" s="9" t="s">
        <v>200</v>
      </c>
      <c r="BD39" s="9" t="s">
        <v>201</v>
      </c>
      <c r="BE39" s="9" t="s">
        <v>202</v>
      </c>
      <c r="BF39" s="9" t="s">
        <v>1222</v>
      </c>
      <c r="BG39" s="9" t="s">
        <v>1223</v>
      </c>
      <c r="BH39" s="9" t="s">
        <v>205</v>
      </c>
      <c r="BI39" s="9" t="s">
        <v>521</v>
      </c>
      <c r="BJ39" s="9" t="s">
        <v>207</v>
      </c>
      <c r="BK39" s="9" t="s">
        <v>208</v>
      </c>
      <c r="BL39" s="9" t="s">
        <v>209</v>
      </c>
      <c r="BM39" s="9" t="s">
        <v>210</v>
      </c>
    </row>
    <row r="40" customFormat="false" ht="229.5" hidden="false" customHeight="true" outlineLevel="0" collapsed="false">
      <c r="A40" s="9" t="s">
        <v>1224</v>
      </c>
      <c r="B40" s="9" t="s">
        <v>154</v>
      </c>
      <c r="C40" s="9" t="s">
        <v>1105</v>
      </c>
      <c r="D40" s="9" t="s">
        <v>1106</v>
      </c>
      <c r="E40" s="9" t="s">
        <v>1107</v>
      </c>
      <c r="F40" s="9" t="s">
        <v>1225</v>
      </c>
      <c r="G40" s="9" t="s">
        <v>1226</v>
      </c>
      <c r="H40" s="9" t="s">
        <v>1227</v>
      </c>
      <c r="I40" s="9" t="s">
        <v>1228</v>
      </c>
      <c r="J40" s="9" t="s">
        <v>254</v>
      </c>
      <c r="K40" s="9" t="s">
        <v>1229</v>
      </c>
      <c r="L40" s="9" t="s">
        <v>1230</v>
      </c>
      <c r="M40" s="9" t="s">
        <v>1231</v>
      </c>
      <c r="N40" s="9" t="s">
        <v>1232</v>
      </c>
      <c r="O40" s="9" t="s">
        <v>1233</v>
      </c>
      <c r="P40" s="9" t="s">
        <v>1117</v>
      </c>
      <c r="Q40" s="9" t="s">
        <v>1234</v>
      </c>
      <c r="R40" s="9" t="s">
        <v>1235</v>
      </c>
      <c r="S40" s="9" t="s">
        <v>1206</v>
      </c>
      <c r="T40" s="9" t="s">
        <v>172</v>
      </c>
      <c r="U40" s="9" t="s">
        <v>173</v>
      </c>
      <c r="V40" s="9" t="s">
        <v>174</v>
      </c>
      <c r="W40" s="9" t="s">
        <v>1236</v>
      </c>
      <c r="X40" s="9" t="s">
        <v>1237</v>
      </c>
      <c r="Y40" s="9" t="s">
        <v>1238</v>
      </c>
      <c r="Z40" s="9" t="s">
        <v>228</v>
      </c>
      <c r="AA40" s="9" t="s">
        <v>361</v>
      </c>
      <c r="AB40" s="9" t="s">
        <v>180</v>
      </c>
      <c r="AC40" s="9" t="s">
        <v>1106</v>
      </c>
      <c r="AD40" s="9" t="s">
        <v>1117</v>
      </c>
      <c r="AE40" s="9" t="s">
        <v>1124</v>
      </c>
      <c r="AF40" s="9" t="s">
        <v>1125</v>
      </c>
      <c r="AG40" s="9" t="s">
        <v>1126</v>
      </c>
      <c r="AH40" s="9" t="s">
        <v>1110</v>
      </c>
      <c r="AI40" s="9" t="s">
        <v>1234</v>
      </c>
      <c r="AJ40" s="9" t="s">
        <v>1227</v>
      </c>
      <c r="AK40" s="9" t="s">
        <v>184</v>
      </c>
      <c r="AL40" s="9" t="s">
        <v>1239</v>
      </c>
      <c r="AM40" s="9" t="s">
        <v>1107</v>
      </c>
      <c r="AN40" s="9" t="s">
        <v>154</v>
      </c>
      <c r="AO40" s="9" t="s">
        <v>1240</v>
      </c>
      <c r="AP40" s="9" t="s">
        <v>1241</v>
      </c>
      <c r="AQ40" s="9" t="s">
        <v>1242</v>
      </c>
      <c r="AR40" s="9" t="s">
        <v>1243</v>
      </c>
      <c r="AS40" s="9" t="s">
        <v>1244</v>
      </c>
      <c r="AT40" s="9" t="s">
        <v>1134</v>
      </c>
      <c r="AU40" s="9" t="s">
        <v>1245</v>
      </c>
      <c r="AV40" s="9" t="s">
        <v>193</v>
      </c>
      <c r="AW40" s="9" t="s">
        <v>194</v>
      </c>
      <c r="AX40" s="9" t="s">
        <v>195</v>
      </c>
      <c r="AY40" s="9" t="s">
        <v>1246</v>
      </c>
      <c r="AZ40" s="9" t="s">
        <v>1247</v>
      </c>
      <c r="BA40" s="9" t="s">
        <v>1248</v>
      </c>
      <c r="BB40" s="9" t="s">
        <v>199</v>
      </c>
      <c r="BC40" s="9" t="s">
        <v>200</v>
      </c>
      <c r="BD40" s="9" t="s">
        <v>201</v>
      </c>
      <c r="BE40" s="9" t="s">
        <v>202</v>
      </c>
      <c r="BF40" s="9" t="s">
        <v>1249</v>
      </c>
      <c r="BG40" s="9" t="s">
        <v>1250</v>
      </c>
      <c r="BH40" s="9" t="s">
        <v>205</v>
      </c>
      <c r="BI40" s="9" t="s">
        <v>1170</v>
      </c>
      <c r="BJ40" s="9" t="s">
        <v>207</v>
      </c>
      <c r="BK40" s="9" t="s">
        <v>208</v>
      </c>
      <c r="BL40" s="9" t="s">
        <v>209</v>
      </c>
      <c r="BM40" s="9" t="s">
        <v>210</v>
      </c>
    </row>
    <row r="41" customFormat="false" ht="202.5" hidden="false" customHeight="true" outlineLevel="0" collapsed="false">
      <c r="A41" s="9" t="s">
        <v>1251</v>
      </c>
      <c r="B41" s="9" t="s">
        <v>154</v>
      </c>
      <c r="C41" s="9" t="s">
        <v>1142</v>
      </c>
      <c r="D41" s="9" t="s">
        <v>1106</v>
      </c>
      <c r="E41" s="9" t="s">
        <v>1252</v>
      </c>
      <c r="F41" s="9" t="s">
        <v>1253</v>
      </c>
      <c r="G41" s="9" t="s">
        <v>1254</v>
      </c>
      <c r="H41" s="9" t="s">
        <v>1255</v>
      </c>
      <c r="I41" s="9" t="s">
        <v>1256</v>
      </c>
      <c r="J41" s="9" t="s">
        <v>254</v>
      </c>
      <c r="K41" s="9" t="s">
        <v>1257</v>
      </c>
      <c r="L41" s="9" t="s">
        <v>1258</v>
      </c>
      <c r="M41" s="9" t="s">
        <v>1259</v>
      </c>
      <c r="N41" s="9" t="s">
        <v>1260</v>
      </c>
      <c r="O41" s="9" t="s">
        <v>1261</v>
      </c>
      <c r="P41" s="9" t="s">
        <v>1117</v>
      </c>
      <c r="Q41" s="9" t="s">
        <v>1262</v>
      </c>
      <c r="R41" s="9" t="s">
        <v>1263</v>
      </c>
      <c r="S41" s="9" t="s">
        <v>1206</v>
      </c>
      <c r="T41" s="9" t="s">
        <v>172</v>
      </c>
      <c r="U41" s="9" t="s">
        <v>173</v>
      </c>
      <c r="V41" s="9" t="s">
        <v>174</v>
      </c>
      <c r="W41" s="9" t="s">
        <v>1264</v>
      </c>
      <c r="X41" s="9" t="s">
        <v>1265</v>
      </c>
      <c r="Y41" s="9" t="s">
        <v>1266</v>
      </c>
      <c r="Z41" s="9" t="s">
        <v>228</v>
      </c>
      <c r="AA41" s="9" t="s">
        <v>1267</v>
      </c>
      <c r="AB41" s="9" t="s">
        <v>1268</v>
      </c>
      <c r="AC41" s="9" t="s">
        <v>1106</v>
      </c>
      <c r="AD41" s="9" t="s">
        <v>1117</v>
      </c>
      <c r="AE41" s="9" t="s">
        <v>1253</v>
      </c>
      <c r="AF41" s="9" t="s">
        <v>480</v>
      </c>
      <c r="AG41" s="9" t="s">
        <v>481</v>
      </c>
      <c r="AH41" s="9" t="s">
        <v>481</v>
      </c>
      <c r="AI41" s="9" t="s">
        <v>1262</v>
      </c>
      <c r="AJ41" s="9" t="s">
        <v>1255</v>
      </c>
      <c r="AK41" s="9" t="s">
        <v>482</v>
      </c>
      <c r="AL41" s="9" t="s">
        <v>483</v>
      </c>
      <c r="AM41" s="9" t="s">
        <v>1252</v>
      </c>
      <c r="AN41" s="9" t="s">
        <v>154</v>
      </c>
      <c r="AO41" s="9" t="s">
        <v>1269</v>
      </c>
      <c r="AP41" s="9" t="s">
        <v>1270</v>
      </c>
      <c r="AQ41" s="9" t="s">
        <v>1271</v>
      </c>
      <c r="AR41" s="9" t="s">
        <v>1272</v>
      </c>
      <c r="AS41" s="9" t="s">
        <v>1273</v>
      </c>
      <c r="AT41" s="9" t="s">
        <v>1134</v>
      </c>
      <c r="AU41" s="9" t="s">
        <v>1274</v>
      </c>
      <c r="AV41" s="9" t="s">
        <v>193</v>
      </c>
      <c r="AW41" s="9" t="s">
        <v>194</v>
      </c>
      <c r="AX41" s="9" t="s">
        <v>195</v>
      </c>
      <c r="AY41" s="9" t="s">
        <v>1275</v>
      </c>
      <c r="AZ41" s="9" t="s">
        <v>1276</v>
      </c>
      <c r="BA41" s="9" t="s">
        <v>1277</v>
      </c>
      <c r="BB41" s="9" t="s">
        <v>199</v>
      </c>
      <c r="BC41" s="9" t="s">
        <v>200</v>
      </c>
      <c r="BD41" s="9" t="s">
        <v>201</v>
      </c>
      <c r="BE41" s="9" t="s">
        <v>202</v>
      </c>
      <c r="BF41" s="9" t="s">
        <v>1278</v>
      </c>
      <c r="BG41" s="9" t="s">
        <v>1279</v>
      </c>
      <c r="BH41" s="9" t="s">
        <v>205</v>
      </c>
      <c r="BI41" s="9" t="s">
        <v>521</v>
      </c>
      <c r="BJ41" s="9" t="s">
        <v>207</v>
      </c>
      <c r="BK41" s="9" t="s">
        <v>208</v>
      </c>
      <c r="BL41" s="9" t="s">
        <v>209</v>
      </c>
      <c r="BM41" s="9" t="s">
        <v>210</v>
      </c>
    </row>
    <row r="42" customFormat="false" ht="216" hidden="false" customHeight="true" outlineLevel="0" collapsed="false">
      <c r="A42" s="9" t="s">
        <v>1280</v>
      </c>
      <c r="B42" s="9" t="s">
        <v>212</v>
      </c>
      <c r="C42" s="9" t="s">
        <v>1196</v>
      </c>
      <c r="D42" s="9" t="s">
        <v>1106</v>
      </c>
      <c r="E42" s="9" t="s">
        <v>1281</v>
      </c>
      <c r="F42" s="9" t="s">
        <v>1282</v>
      </c>
      <c r="G42" s="9" t="s">
        <v>1283</v>
      </c>
      <c r="H42" s="9" t="s">
        <v>1284</v>
      </c>
      <c r="I42" s="9" t="s">
        <v>1285</v>
      </c>
      <c r="J42" s="9" t="s">
        <v>254</v>
      </c>
      <c r="K42" s="9" t="s">
        <v>1286</v>
      </c>
      <c r="L42" s="9" t="s">
        <v>1287</v>
      </c>
      <c r="M42" s="9" t="s">
        <v>1288</v>
      </c>
      <c r="N42" s="9" t="s">
        <v>1289</v>
      </c>
      <c r="O42" s="9" t="s">
        <v>1180</v>
      </c>
      <c r="P42" s="9" t="s">
        <v>1117</v>
      </c>
      <c r="Q42" s="9" t="s">
        <v>1290</v>
      </c>
      <c r="R42" s="9" t="s">
        <v>1291</v>
      </c>
      <c r="S42" s="9" t="s">
        <v>1206</v>
      </c>
      <c r="T42" s="9" t="s">
        <v>172</v>
      </c>
      <c r="U42" s="9" t="s">
        <v>173</v>
      </c>
      <c r="V42" s="9" t="s">
        <v>174</v>
      </c>
      <c r="W42" s="9" t="s">
        <v>603</v>
      </c>
      <c r="X42" s="9" t="s">
        <v>1292</v>
      </c>
      <c r="Y42" s="9" t="s">
        <v>1293</v>
      </c>
      <c r="Z42" s="9" t="s">
        <v>228</v>
      </c>
      <c r="AA42" s="9" t="s">
        <v>361</v>
      </c>
      <c r="AB42" s="9" t="s">
        <v>230</v>
      </c>
      <c r="AC42" s="9" t="s">
        <v>1106</v>
      </c>
      <c r="AD42" s="9" t="s">
        <v>1117</v>
      </c>
      <c r="AE42" s="9" t="s">
        <v>1282</v>
      </c>
      <c r="AF42" s="9" t="s">
        <v>480</v>
      </c>
      <c r="AG42" s="9" t="s">
        <v>481</v>
      </c>
      <c r="AH42" s="9" t="s">
        <v>481</v>
      </c>
      <c r="AI42" s="9" t="s">
        <v>1290</v>
      </c>
      <c r="AJ42" s="9" t="s">
        <v>1284</v>
      </c>
      <c r="AK42" s="9" t="s">
        <v>482</v>
      </c>
      <c r="AL42" s="9" t="s">
        <v>483</v>
      </c>
      <c r="AM42" s="9" t="s">
        <v>1281</v>
      </c>
      <c r="AN42" s="9" t="s">
        <v>212</v>
      </c>
      <c r="AO42" s="9" t="s">
        <v>1294</v>
      </c>
      <c r="AP42" s="9" t="s">
        <v>1295</v>
      </c>
      <c r="AQ42" s="9" t="s">
        <v>1296</v>
      </c>
      <c r="AR42" s="9" t="s">
        <v>1297</v>
      </c>
      <c r="AS42" s="9" t="s">
        <v>1298</v>
      </c>
      <c r="AT42" s="9" t="s">
        <v>1134</v>
      </c>
      <c r="AU42" s="9" t="s">
        <v>1299</v>
      </c>
      <c r="AV42" s="9" t="s">
        <v>193</v>
      </c>
      <c r="AW42" s="9" t="s">
        <v>194</v>
      </c>
      <c r="AX42" s="9" t="s">
        <v>195</v>
      </c>
      <c r="AY42" s="9" t="s">
        <v>1300</v>
      </c>
      <c r="AZ42" s="9" t="s">
        <v>1301</v>
      </c>
      <c r="BA42" s="9" t="s">
        <v>1302</v>
      </c>
      <c r="BB42" s="9" t="s">
        <v>199</v>
      </c>
      <c r="BC42" s="9" t="s">
        <v>200</v>
      </c>
      <c r="BD42" s="9" t="s">
        <v>201</v>
      </c>
      <c r="BE42" s="9" t="s">
        <v>202</v>
      </c>
      <c r="BF42" s="9" t="s">
        <v>1303</v>
      </c>
      <c r="BG42" s="9" t="s">
        <v>1001</v>
      </c>
      <c r="BH42" s="9" t="s">
        <v>205</v>
      </c>
      <c r="BI42" s="9" t="s">
        <v>314</v>
      </c>
      <c r="BJ42" s="9" t="s">
        <v>207</v>
      </c>
      <c r="BK42" s="9" t="s">
        <v>208</v>
      </c>
      <c r="BL42" s="9" t="s">
        <v>209</v>
      </c>
      <c r="BM42" s="9" t="s">
        <v>210</v>
      </c>
    </row>
    <row r="43" customFormat="false" ht="216" hidden="false" customHeight="true" outlineLevel="0" collapsed="false">
      <c r="A43" s="9" t="s">
        <v>1304</v>
      </c>
      <c r="B43" s="9" t="s">
        <v>316</v>
      </c>
      <c r="C43" s="9" t="s">
        <v>1142</v>
      </c>
      <c r="D43" s="9" t="s">
        <v>1106</v>
      </c>
      <c r="E43" s="9" t="s">
        <v>1107</v>
      </c>
      <c r="F43" s="9" t="s">
        <v>1305</v>
      </c>
      <c r="G43" s="9" t="s">
        <v>1306</v>
      </c>
      <c r="H43" s="9" t="s">
        <v>1307</v>
      </c>
      <c r="I43" s="9" t="s">
        <v>1308</v>
      </c>
      <c r="J43" s="9" t="s">
        <v>254</v>
      </c>
      <c r="K43" s="9" t="s">
        <v>1309</v>
      </c>
      <c r="L43" s="9" t="s">
        <v>1310</v>
      </c>
      <c r="M43" s="9" t="s">
        <v>1311</v>
      </c>
      <c r="N43" s="9" t="s">
        <v>1312</v>
      </c>
      <c r="O43" s="9" t="s">
        <v>1180</v>
      </c>
      <c r="P43" s="9" t="s">
        <v>1117</v>
      </c>
      <c r="Q43" s="9" t="s">
        <v>1313</v>
      </c>
      <c r="R43" s="9" t="s">
        <v>1314</v>
      </c>
      <c r="S43" s="9" t="s">
        <v>1206</v>
      </c>
      <c r="T43" s="9" t="s">
        <v>172</v>
      </c>
      <c r="U43" s="9" t="s">
        <v>173</v>
      </c>
      <c r="V43" s="9" t="s">
        <v>174</v>
      </c>
      <c r="W43" s="9" t="s">
        <v>295</v>
      </c>
      <c r="X43" s="9" t="s">
        <v>1315</v>
      </c>
      <c r="Y43" s="9" t="s">
        <v>1316</v>
      </c>
      <c r="Z43" s="9" t="s">
        <v>228</v>
      </c>
      <c r="AA43" s="9" t="s">
        <v>361</v>
      </c>
      <c r="AB43" s="9" t="s">
        <v>331</v>
      </c>
      <c r="AC43" s="9" t="s">
        <v>1106</v>
      </c>
      <c r="AD43" s="9" t="s">
        <v>1117</v>
      </c>
      <c r="AE43" s="9" t="s">
        <v>1317</v>
      </c>
      <c r="AF43" s="9" t="s">
        <v>1318</v>
      </c>
      <c r="AG43" s="9" t="s">
        <v>1319</v>
      </c>
      <c r="AH43" s="9" t="s">
        <v>1320</v>
      </c>
      <c r="AI43" s="9" t="s">
        <v>1313</v>
      </c>
      <c r="AJ43" s="9" t="s">
        <v>1307</v>
      </c>
      <c r="AK43" s="9" t="s">
        <v>234</v>
      </c>
      <c r="AL43" s="9" t="s">
        <v>235</v>
      </c>
      <c r="AM43" s="9" t="s">
        <v>1107</v>
      </c>
      <c r="AN43" s="9" t="s">
        <v>316</v>
      </c>
      <c r="AO43" s="9" t="s">
        <v>1321</v>
      </c>
      <c r="AP43" s="9" t="s">
        <v>1322</v>
      </c>
      <c r="AQ43" s="9" t="s">
        <v>1323</v>
      </c>
      <c r="AR43" s="9" t="s">
        <v>1324</v>
      </c>
      <c r="AS43" s="9" t="s">
        <v>1325</v>
      </c>
      <c r="AT43" s="9" t="s">
        <v>1134</v>
      </c>
      <c r="AU43" s="9" t="s">
        <v>1326</v>
      </c>
      <c r="AV43" s="9" t="s">
        <v>193</v>
      </c>
      <c r="AW43" s="9" t="s">
        <v>194</v>
      </c>
      <c r="AX43" s="9" t="s">
        <v>195</v>
      </c>
      <c r="AY43" s="9" t="s">
        <v>1327</v>
      </c>
      <c r="AZ43" s="9" t="s">
        <v>1328</v>
      </c>
      <c r="BA43" s="9" t="s">
        <v>1329</v>
      </c>
      <c r="BB43" s="9" t="s">
        <v>199</v>
      </c>
      <c r="BC43" s="9" t="s">
        <v>200</v>
      </c>
      <c r="BD43" s="9" t="s">
        <v>201</v>
      </c>
      <c r="BE43" s="9" t="s">
        <v>202</v>
      </c>
      <c r="BF43" s="9" t="s">
        <v>1330</v>
      </c>
      <c r="BG43" s="9" t="s">
        <v>1331</v>
      </c>
      <c r="BH43" s="9" t="s">
        <v>205</v>
      </c>
      <c r="BI43" s="9" t="s">
        <v>521</v>
      </c>
      <c r="BJ43" s="9" t="s">
        <v>207</v>
      </c>
      <c r="BK43" s="9" t="s">
        <v>208</v>
      </c>
      <c r="BL43" s="9" t="s">
        <v>209</v>
      </c>
      <c r="BM43" s="9" t="s">
        <v>210</v>
      </c>
    </row>
    <row r="44" customFormat="false" ht="216" hidden="false" customHeight="true" outlineLevel="0" collapsed="false">
      <c r="A44" s="9" t="s">
        <v>1332</v>
      </c>
      <c r="B44" s="9" t="s">
        <v>212</v>
      </c>
      <c r="C44" s="9" t="s">
        <v>1142</v>
      </c>
      <c r="D44" s="9" t="s">
        <v>1106</v>
      </c>
      <c r="E44" s="9" t="s">
        <v>1172</v>
      </c>
      <c r="F44" s="9" t="s">
        <v>1333</v>
      </c>
      <c r="G44" s="9" t="s">
        <v>1334</v>
      </c>
      <c r="H44" s="9" t="s">
        <v>1335</v>
      </c>
      <c r="I44" s="9" t="s">
        <v>1336</v>
      </c>
      <c r="J44" s="9" t="s">
        <v>254</v>
      </c>
      <c r="K44" s="9" t="s">
        <v>1337</v>
      </c>
      <c r="L44" s="9" t="s">
        <v>1338</v>
      </c>
      <c r="M44" s="9" t="s">
        <v>1339</v>
      </c>
      <c r="N44" s="9" t="s">
        <v>1340</v>
      </c>
      <c r="O44" s="9" t="s">
        <v>1180</v>
      </c>
      <c r="P44" s="9" t="s">
        <v>1117</v>
      </c>
      <c r="Q44" s="9" t="s">
        <v>1341</v>
      </c>
      <c r="R44" s="9" t="s">
        <v>1342</v>
      </c>
      <c r="S44" s="9" t="s">
        <v>1206</v>
      </c>
      <c r="T44" s="9" t="s">
        <v>172</v>
      </c>
      <c r="U44" s="9" t="s">
        <v>173</v>
      </c>
      <c r="V44" s="9" t="s">
        <v>174</v>
      </c>
      <c r="W44" s="9" t="s">
        <v>1343</v>
      </c>
      <c r="X44" s="9" t="s">
        <v>1344</v>
      </c>
      <c r="Y44" s="9" t="s">
        <v>1345</v>
      </c>
      <c r="Z44" s="9" t="s">
        <v>228</v>
      </c>
      <c r="AA44" s="9" t="s">
        <v>361</v>
      </c>
      <c r="AB44" s="9" t="s">
        <v>230</v>
      </c>
      <c r="AC44" s="9" t="s">
        <v>1106</v>
      </c>
      <c r="AD44" s="9" t="s">
        <v>1117</v>
      </c>
      <c r="AE44" s="9" t="s">
        <v>1346</v>
      </c>
      <c r="AF44" s="9" t="s">
        <v>1347</v>
      </c>
      <c r="AG44" s="9" t="s">
        <v>1348</v>
      </c>
      <c r="AH44" s="9" t="s">
        <v>1349</v>
      </c>
      <c r="AI44" s="9" t="s">
        <v>1341</v>
      </c>
      <c r="AJ44" s="9" t="s">
        <v>1335</v>
      </c>
      <c r="AK44" s="9" t="s">
        <v>234</v>
      </c>
      <c r="AL44" s="9" t="s">
        <v>235</v>
      </c>
      <c r="AM44" s="9" t="s">
        <v>1172</v>
      </c>
      <c r="AN44" s="9" t="s">
        <v>212</v>
      </c>
      <c r="AO44" s="9" t="s">
        <v>1350</v>
      </c>
      <c r="AP44" s="9" t="s">
        <v>1351</v>
      </c>
      <c r="AQ44" s="9" t="s">
        <v>1352</v>
      </c>
      <c r="AR44" s="9" t="s">
        <v>1353</v>
      </c>
      <c r="AS44" s="9" t="s">
        <v>1354</v>
      </c>
      <c r="AT44" s="9" t="s">
        <v>1134</v>
      </c>
      <c r="AU44" s="9" t="s">
        <v>1355</v>
      </c>
      <c r="AV44" s="9" t="s">
        <v>193</v>
      </c>
      <c r="AW44" s="9" t="s">
        <v>194</v>
      </c>
      <c r="AX44" s="9" t="s">
        <v>195</v>
      </c>
      <c r="AY44" s="9" t="s">
        <v>1356</v>
      </c>
      <c r="AZ44" s="9" t="s">
        <v>1357</v>
      </c>
      <c r="BA44" s="9" t="s">
        <v>1358</v>
      </c>
      <c r="BB44" s="9" t="s">
        <v>199</v>
      </c>
      <c r="BC44" s="9" t="s">
        <v>200</v>
      </c>
      <c r="BD44" s="9" t="s">
        <v>201</v>
      </c>
      <c r="BE44" s="9" t="s">
        <v>202</v>
      </c>
      <c r="BF44" s="9" t="s">
        <v>1359</v>
      </c>
      <c r="BG44" s="9" t="s">
        <v>1360</v>
      </c>
      <c r="BH44" s="9" t="s">
        <v>205</v>
      </c>
      <c r="BI44" s="9" t="s">
        <v>1170</v>
      </c>
      <c r="BJ44" s="9" t="s">
        <v>207</v>
      </c>
      <c r="BK44" s="9" t="s">
        <v>208</v>
      </c>
      <c r="BL44" s="9" t="s">
        <v>209</v>
      </c>
      <c r="BM44" s="9" t="s">
        <v>210</v>
      </c>
    </row>
    <row r="45" customFormat="false" ht="229.5" hidden="false" customHeight="true" outlineLevel="0" collapsed="false">
      <c r="A45" s="9" t="s">
        <v>1361</v>
      </c>
      <c r="B45" s="9" t="s">
        <v>212</v>
      </c>
      <c r="C45" s="9" t="s">
        <v>1196</v>
      </c>
      <c r="D45" s="9" t="s">
        <v>1106</v>
      </c>
      <c r="E45" s="9" t="s">
        <v>1172</v>
      </c>
      <c r="F45" s="9" t="s">
        <v>1362</v>
      </c>
      <c r="G45" s="9" t="s">
        <v>1363</v>
      </c>
      <c r="H45" s="9" t="s">
        <v>1364</v>
      </c>
      <c r="I45" s="9" t="s">
        <v>1365</v>
      </c>
      <c r="J45" s="9" t="s">
        <v>254</v>
      </c>
      <c r="K45" s="9" t="s">
        <v>1366</v>
      </c>
      <c r="L45" s="9" t="s">
        <v>1367</v>
      </c>
      <c r="M45" s="9" t="s">
        <v>1368</v>
      </c>
      <c r="N45" s="9" t="s">
        <v>1369</v>
      </c>
      <c r="O45" s="9" t="s">
        <v>1233</v>
      </c>
      <c r="P45" s="9" t="s">
        <v>1117</v>
      </c>
      <c r="Q45" s="9" t="s">
        <v>1370</v>
      </c>
      <c r="R45" s="9" t="s">
        <v>1371</v>
      </c>
      <c r="S45" s="9" t="s">
        <v>1206</v>
      </c>
      <c r="T45" s="9" t="s">
        <v>172</v>
      </c>
      <c r="U45" s="9" t="s">
        <v>173</v>
      </c>
      <c r="V45" s="9" t="s">
        <v>174</v>
      </c>
      <c r="W45" s="9" t="s">
        <v>476</v>
      </c>
      <c r="X45" s="9" t="s">
        <v>1372</v>
      </c>
      <c r="Y45" s="9" t="s">
        <v>1373</v>
      </c>
      <c r="Z45" s="9" t="s">
        <v>1374</v>
      </c>
      <c r="AA45" s="9" t="s">
        <v>1375</v>
      </c>
      <c r="AB45" s="9" t="s">
        <v>230</v>
      </c>
      <c r="AC45" s="9" t="s">
        <v>1106</v>
      </c>
      <c r="AD45" s="9" t="s">
        <v>1117</v>
      </c>
      <c r="AE45" s="9" t="s">
        <v>1362</v>
      </c>
      <c r="AF45" s="9" t="s">
        <v>480</v>
      </c>
      <c r="AG45" s="9" t="s">
        <v>481</v>
      </c>
      <c r="AH45" s="9" t="s">
        <v>481</v>
      </c>
      <c r="AI45" s="9" t="s">
        <v>1370</v>
      </c>
      <c r="AJ45" s="9" t="s">
        <v>1364</v>
      </c>
      <c r="AK45" s="9" t="s">
        <v>482</v>
      </c>
      <c r="AL45" s="9" t="s">
        <v>483</v>
      </c>
      <c r="AM45" s="9" t="s">
        <v>1172</v>
      </c>
      <c r="AN45" s="9" t="s">
        <v>212</v>
      </c>
      <c r="AO45" s="9" t="s">
        <v>1376</v>
      </c>
      <c r="AP45" s="9" t="s">
        <v>1377</v>
      </c>
      <c r="AQ45" s="9" t="s">
        <v>1378</v>
      </c>
      <c r="AR45" s="9" t="s">
        <v>1379</v>
      </c>
      <c r="AS45" s="9" t="s">
        <v>1380</v>
      </c>
      <c r="AT45" s="9" t="s">
        <v>1134</v>
      </c>
      <c r="AU45" s="9" t="s">
        <v>1381</v>
      </c>
      <c r="AV45" s="9" t="s">
        <v>193</v>
      </c>
      <c r="AW45" s="9" t="s">
        <v>194</v>
      </c>
      <c r="AX45" s="9" t="s">
        <v>195</v>
      </c>
      <c r="AY45" s="9" t="s">
        <v>1382</v>
      </c>
      <c r="AZ45" s="9" t="s">
        <v>1383</v>
      </c>
      <c r="BA45" s="9" t="s">
        <v>1384</v>
      </c>
      <c r="BB45" s="9" t="s">
        <v>199</v>
      </c>
      <c r="BC45" s="9" t="s">
        <v>200</v>
      </c>
      <c r="BD45" s="9" t="s">
        <v>201</v>
      </c>
      <c r="BE45" s="9" t="s">
        <v>202</v>
      </c>
      <c r="BF45" s="9" t="s">
        <v>1385</v>
      </c>
      <c r="BG45" s="9" t="s">
        <v>1386</v>
      </c>
      <c r="BH45" s="9" t="s">
        <v>205</v>
      </c>
      <c r="BI45" s="9" t="s">
        <v>314</v>
      </c>
      <c r="BJ45" s="9" t="s">
        <v>207</v>
      </c>
      <c r="BK45" s="9" t="s">
        <v>208</v>
      </c>
      <c r="BL45" s="9" t="s">
        <v>209</v>
      </c>
      <c r="BM45" s="9" t="s">
        <v>210</v>
      </c>
    </row>
    <row r="46" customFormat="false" ht="216" hidden="false" customHeight="true" outlineLevel="0" collapsed="false">
      <c r="A46" s="9" t="s">
        <v>1387</v>
      </c>
      <c r="B46" s="9" t="s">
        <v>154</v>
      </c>
      <c r="C46" s="9" t="s">
        <v>1142</v>
      </c>
      <c r="D46" s="9" t="s">
        <v>1106</v>
      </c>
      <c r="E46" s="9" t="s">
        <v>1172</v>
      </c>
      <c r="F46" s="9" t="s">
        <v>1388</v>
      </c>
      <c r="G46" s="9" t="s">
        <v>1389</v>
      </c>
      <c r="H46" s="9"/>
      <c r="I46" s="9" t="s">
        <v>1390</v>
      </c>
      <c r="J46" s="9" t="s">
        <v>1391</v>
      </c>
      <c r="K46" s="9" t="s">
        <v>1392</v>
      </c>
      <c r="L46" s="9" t="s">
        <v>1393</v>
      </c>
      <c r="M46" s="9" t="s">
        <v>1394</v>
      </c>
      <c r="N46" s="9" t="s">
        <v>558</v>
      </c>
      <c r="O46" s="9" t="s">
        <v>1261</v>
      </c>
      <c r="P46" s="9" t="s">
        <v>1117</v>
      </c>
      <c r="Q46" s="9" t="s">
        <v>559</v>
      </c>
      <c r="R46" s="9" t="s">
        <v>560</v>
      </c>
      <c r="S46" s="9" t="s">
        <v>561</v>
      </c>
      <c r="T46" s="9" t="s">
        <v>562</v>
      </c>
      <c r="U46" s="9" t="s">
        <v>173</v>
      </c>
      <c r="V46" s="9" t="s">
        <v>174</v>
      </c>
      <c r="W46" s="9" t="s">
        <v>295</v>
      </c>
      <c r="X46" s="9" t="s">
        <v>1389</v>
      </c>
      <c r="Y46" s="9" t="s">
        <v>1395</v>
      </c>
      <c r="Z46" s="9" t="s">
        <v>228</v>
      </c>
      <c r="AA46" s="9" t="s">
        <v>361</v>
      </c>
      <c r="AB46" s="9" t="s">
        <v>230</v>
      </c>
      <c r="AC46" s="9" t="s">
        <v>1106</v>
      </c>
      <c r="AD46" s="9" t="s">
        <v>1117</v>
      </c>
      <c r="AE46" s="9" t="s">
        <v>1388</v>
      </c>
      <c r="AF46" s="9" t="s">
        <v>1396</v>
      </c>
      <c r="AG46" s="9" t="s">
        <v>1397</v>
      </c>
      <c r="AH46" s="9" t="s">
        <v>1398</v>
      </c>
      <c r="AI46" s="9" t="s">
        <v>1127</v>
      </c>
      <c r="AJ46" s="9" t="s">
        <v>1128</v>
      </c>
      <c r="AK46" s="9" t="s">
        <v>234</v>
      </c>
      <c r="AL46" s="9" t="s">
        <v>235</v>
      </c>
      <c r="AM46" s="9" t="s">
        <v>1172</v>
      </c>
      <c r="AN46" s="9" t="s">
        <v>154</v>
      </c>
      <c r="AO46" s="9" t="s">
        <v>1399</v>
      </c>
      <c r="AP46" s="9" t="s">
        <v>1400</v>
      </c>
      <c r="AQ46" s="9" t="s">
        <v>1401</v>
      </c>
      <c r="AR46" s="9" t="s">
        <v>1391</v>
      </c>
      <c r="AS46" s="9" t="s">
        <v>1392</v>
      </c>
      <c r="AT46" s="9" t="s">
        <v>1134</v>
      </c>
      <c r="AU46" s="9" t="s">
        <v>1393</v>
      </c>
      <c r="AV46" s="9" t="s">
        <v>193</v>
      </c>
      <c r="AW46" s="9" t="s">
        <v>194</v>
      </c>
      <c r="AX46" s="9" t="s">
        <v>195</v>
      </c>
      <c r="AY46" s="9" t="s">
        <v>1402</v>
      </c>
      <c r="AZ46" s="9" t="s">
        <v>1403</v>
      </c>
      <c r="BA46" s="9" t="s">
        <v>1404</v>
      </c>
      <c r="BB46" s="9" t="s">
        <v>199</v>
      </c>
      <c r="BC46" s="9" t="s">
        <v>200</v>
      </c>
      <c r="BD46" s="9" t="s">
        <v>201</v>
      </c>
      <c r="BE46" s="9" t="s">
        <v>202</v>
      </c>
      <c r="BF46" s="9" t="s">
        <v>1405</v>
      </c>
      <c r="BG46" s="9" t="s">
        <v>1406</v>
      </c>
      <c r="BH46" s="9" t="s">
        <v>205</v>
      </c>
      <c r="BI46" s="9" t="s">
        <v>521</v>
      </c>
      <c r="BJ46" s="9" t="s">
        <v>207</v>
      </c>
      <c r="BK46" s="9" t="s">
        <v>208</v>
      </c>
      <c r="BL46" s="9" t="s">
        <v>209</v>
      </c>
      <c r="BM46" s="9" t="s">
        <v>577</v>
      </c>
    </row>
    <row r="47" customFormat="false" ht="229.5" hidden="false" customHeight="true" outlineLevel="0" collapsed="false">
      <c r="A47" s="9" t="s">
        <v>1407</v>
      </c>
      <c r="B47" s="9" t="s">
        <v>212</v>
      </c>
      <c r="C47" s="9" t="s">
        <v>1142</v>
      </c>
      <c r="D47" s="9" t="s">
        <v>1106</v>
      </c>
      <c r="E47" s="9" t="s">
        <v>1252</v>
      </c>
      <c r="F47" s="9" t="s">
        <v>1408</v>
      </c>
      <c r="G47" s="9" t="s">
        <v>1409</v>
      </c>
      <c r="H47" s="9"/>
      <c r="I47" s="9" t="s">
        <v>1410</v>
      </c>
      <c r="J47" s="9" t="s">
        <v>1411</v>
      </c>
      <c r="K47" s="9" t="s">
        <v>1412</v>
      </c>
      <c r="L47" s="9" t="s">
        <v>1413</v>
      </c>
      <c r="M47" s="9" t="s">
        <v>1414</v>
      </c>
      <c r="N47" s="9" t="s">
        <v>558</v>
      </c>
      <c r="O47" s="9" t="s">
        <v>1151</v>
      </c>
      <c r="P47" s="9" t="s">
        <v>1117</v>
      </c>
      <c r="Q47" s="9" t="s">
        <v>559</v>
      </c>
      <c r="R47" s="9" t="s">
        <v>560</v>
      </c>
      <c r="S47" s="9" t="s">
        <v>561</v>
      </c>
      <c r="T47" s="9" t="s">
        <v>562</v>
      </c>
      <c r="U47" s="9" t="s">
        <v>173</v>
      </c>
      <c r="V47" s="9" t="s">
        <v>174</v>
      </c>
      <c r="W47" s="9" t="s">
        <v>1415</v>
      </c>
      <c r="X47" s="9" t="s">
        <v>1409</v>
      </c>
      <c r="Y47" s="9" t="s">
        <v>1416</v>
      </c>
      <c r="Z47" s="9" t="s">
        <v>228</v>
      </c>
      <c r="AA47" s="9" t="s">
        <v>361</v>
      </c>
      <c r="AB47" s="9" t="s">
        <v>331</v>
      </c>
      <c r="AC47" s="9" t="s">
        <v>1106</v>
      </c>
      <c r="AD47" s="9" t="s">
        <v>1117</v>
      </c>
      <c r="AE47" s="9" t="s">
        <v>1408</v>
      </c>
      <c r="AF47" s="9" t="s">
        <v>1417</v>
      </c>
      <c r="AG47" s="9" t="s">
        <v>1418</v>
      </c>
      <c r="AH47" s="9" t="s">
        <v>1419</v>
      </c>
      <c r="AI47" s="9" t="s">
        <v>1290</v>
      </c>
      <c r="AJ47" s="9" t="s">
        <v>1284</v>
      </c>
      <c r="AK47" s="9" t="s">
        <v>234</v>
      </c>
      <c r="AL47" s="9" t="s">
        <v>235</v>
      </c>
      <c r="AM47" s="9" t="s">
        <v>1252</v>
      </c>
      <c r="AN47" s="9" t="s">
        <v>212</v>
      </c>
      <c r="AO47" s="9" t="s">
        <v>1420</v>
      </c>
      <c r="AP47" s="9" t="s">
        <v>1421</v>
      </c>
      <c r="AQ47" s="9" t="s">
        <v>1422</v>
      </c>
      <c r="AR47" s="9" t="s">
        <v>1411</v>
      </c>
      <c r="AS47" s="9" t="s">
        <v>1412</v>
      </c>
      <c r="AT47" s="9" t="s">
        <v>1134</v>
      </c>
      <c r="AU47" s="9" t="s">
        <v>1413</v>
      </c>
      <c r="AV47" s="9" t="s">
        <v>193</v>
      </c>
      <c r="AW47" s="9" t="s">
        <v>194</v>
      </c>
      <c r="AX47" s="9" t="s">
        <v>195</v>
      </c>
      <c r="AY47" s="9" t="s">
        <v>1423</v>
      </c>
      <c r="AZ47" s="9" t="s">
        <v>1424</v>
      </c>
      <c r="BA47" s="9" t="s">
        <v>1425</v>
      </c>
      <c r="BB47" s="9" t="s">
        <v>199</v>
      </c>
      <c r="BC47" s="9" t="s">
        <v>200</v>
      </c>
      <c r="BD47" s="9" t="s">
        <v>201</v>
      </c>
      <c r="BE47" s="9" t="s">
        <v>202</v>
      </c>
      <c r="BF47" s="9" t="s">
        <v>1426</v>
      </c>
      <c r="BG47" s="9" t="s">
        <v>1427</v>
      </c>
      <c r="BH47" s="9" t="s">
        <v>205</v>
      </c>
      <c r="BI47" s="9" t="s">
        <v>314</v>
      </c>
      <c r="BJ47" s="9" t="s">
        <v>207</v>
      </c>
      <c r="BK47" s="9" t="s">
        <v>208</v>
      </c>
      <c r="BL47" s="9" t="s">
        <v>209</v>
      </c>
      <c r="BM47" s="9" t="s">
        <v>577</v>
      </c>
    </row>
    <row r="48" customFormat="false" ht="202.5" hidden="false" customHeight="true" outlineLevel="0" collapsed="false">
      <c r="A48" s="9" t="s">
        <v>1428</v>
      </c>
      <c r="B48" s="9" t="s">
        <v>316</v>
      </c>
      <c r="C48" s="9" t="s">
        <v>1196</v>
      </c>
      <c r="D48" s="9" t="s">
        <v>1106</v>
      </c>
      <c r="E48" s="9" t="s">
        <v>1143</v>
      </c>
      <c r="F48" s="9" t="s">
        <v>1408</v>
      </c>
      <c r="G48" s="9" t="s">
        <v>1429</v>
      </c>
      <c r="H48" s="9"/>
      <c r="I48" s="9" t="s">
        <v>1430</v>
      </c>
      <c r="J48" s="9" t="s">
        <v>1431</v>
      </c>
      <c r="K48" s="9" t="s">
        <v>1432</v>
      </c>
      <c r="L48" s="9" t="s">
        <v>1433</v>
      </c>
      <c r="M48" s="9" t="s">
        <v>1434</v>
      </c>
      <c r="N48" s="9" t="s">
        <v>558</v>
      </c>
      <c r="O48" s="9" t="s">
        <v>1435</v>
      </c>
      <c r="P48" s="9" t="s">
        <v>1117</v>
      </c>
      <c r="Q48" s="9" t="s">
        <v>559</v>
      </c>
      <c r="R48" s="9" t="s">
        <v>560</v>
      </c>
      <c r="S48" s="9" t="s">
        <v>561</v>
      </c>
      <c r="T48" s="9" t="s">
        <v>562</v>
      </c>
      <c r="U48" s="9" t="s">
        <v>173</v>
      </c>
      <c r="V48" s="9" t="s">
        <v>174</v>
      </c>
      <c r="W48" s="9" t="s">
        <v>295</v>
      </c>
      <c r="X48" s="9" t="s">
        <v>1429</v>
      </c>
      <c r="Y48" s="9" t="s">
        <v>1436</v>
      </c>
      <c r="Z48" s="9" t="s">
        <v>228</v>
      </c>
      <c r="AA48" s="9" t="s">
        <v>1437</v>
      </c>
      <c r="AB48" s="9" t="s">
        <v>180</v>
      </c>
      <c r="AC48" s="9" t="s">
        <v>1106</v>
      </c>
      <c r="AD48" s="9" t="s">
        <v>1117</v>
      </c>
      <c r="AE48" s="9" t="s">
        <v>1408</v>
      </c>
      <c r="AF48" s="9" t="s">
        <v>1438</v>
      </c>
      <c r="AG48" s="9" t="s">
        <v>1439</v>
      </c>
      <c r="AH48" s="9" t="s">
        <v>1440</v>
      </c>
      <c r="AI48" s="9" t="s">
        <v>1127</v>
      </c>
      <c r="AJ48" s="9" t="s">
        <v>1128</v>
      </c>
      <c r="AK48" s="9" t="s">
        <v>184</v>
      </c>
      <c r="AL48" s="9" t="s">
        <v>1441</v>
      </c>
      <c r="AM48" s="9" t="s">
        <v>1143</v>
      </c>
      <c r="AN48" s="9" t="s">
        <v>316</v>
      </c>
      <c r="AO48" s="9" t="s">
        <v>1442</v>
      </c>
      <c r="AP48" s="9" t="s">
        <v>1443</v>
      </c>
      <c r="AQ48" s="9" t="s">
        <v>1444</v>
      </c>
      <c r="AR48" s="9" t="s">
        <v>1431</v>
      </c>
      <c r="AS48" s="9" t="s">
        <v>1432</v>
      </c>
      <c r="AT48" s="9" t="s">
        <v>1134</v>
      </c>
      <c r="AU48" s="9" t="s">
        <v>1433</v>
      </c>
      <c r="AV48" s="9" t="s">
        <v>193</v>
      </c>
      <c r="AW48" s="9" t="s">
        <v>194</v>
      </c>
      <c r="AX48" s="9" t="s">
        <v>195</v>
      </c>
      <c r="AY48" s="9" t="s">
        <v>1445</v>
      </c>
      <c r="AZ48" s="9" t="s">
        <v>1446</v>
      </c>
      <c r="BA48" s="9" t="s">
        <v>1447</v>
      </c>
      <c r="BB48" s="9" t="s">
        <v>199</v>
      </c>
      <c r="BC48" s="9" t="s">
        <v>200</v>
      </c>
      <c r="BD48" s="9" t="s">
        <v>201</v>
      </c>
      <c r="BE48" s="9" t="s">
        <v>202</v>
      </c>
      <c r="BF48" s="9" t="s">
        <v>1448</v>
      </c>
      <c r="BG48" s="9" t="s">
        <v>1449</v>
      </c>
      <c r="BH48" s="9" t="s">
        <v>205</v>
      </c>
      <c r="BI48" s="9" t="s">
        <v>521</v>
      </c>
      <c r="BJ48" s="9" t="s">
        <v>207</v>
      </c>
      <c r="BK48" s="9" t="s">
        <v>208</v>
      </c>
      <c r="BL48" s="9" t="s">
        <v>209</v>
      </c>
      <c r="BM48" s="9" t="s">
        <v>577</v>
      </c>
    </row>
    <row r="49" customFormat="false" ht="216" hidden="false" customHeight="true" outlineLevel="0" collapsed="false">
      <c r="A49" s="9" t="s">
        <v>1450</v>
      </c>
      <c r="B49" s="9" t="s">
        <v>154</v>
      </c>
      <c r="C49" s="9" t="s">
        <v>1196</v>
      </c>
      <c r="D49" s="9" t="s">
        <v>1106</v>
      </c>
      <c r="E49" s="9" t="s">
        <v>1451</v>
      </c>
      <c r="F49" s="9" t="s">
        <v>1452</v>
      </c>
      <c r="G49" s="9" t="s">
        <v>1453</v>
      </c>
      <c r="H49" s="9"/>
      <c r="I49" s="9" t="s">
        <v>1454</v>
      </c>
      <c r="J49" s="9" t="s">
        <v>1455</v>
      </c>
      <c r="K49" s="9" t="s">
        <v>1456</v>
      </c>
      <c r="L49" s="9" t="s">
        <v>1457</v>
      </c>
      <c r="M49" s="9" t="s">
        <v>1458</v>
      </c>
      <c r="N49" s="9" t="s">
        <v>558</v>
      </c>
      <c r="O49" s="9" t="s">
        <v>1151</v>
      </c>
      <c r="P49" s="9" t="s">
        <v>1117</v>
      </c>
      <c r="Q49" s="9" t="s">
        <v>559</v>
      </c>
      <c r="R49" s="9" t="s">
        <v>560</v>
      </c>
      <c r="S49" s="9" t="s">
        <v>561</v>
      </c>
      <c r="T49" s="9" t="s">
        <v>562</v>
      </c>
      <c r="U49" s="9" t="s">
        <v>173</v>
      </c>
      <c r="V49" s="9" t="s">
        <v>174</v>
      </c>
      <c r="W49" s="9" t="s">
        <v>387</v>
      </c>
      <c r="X49" s="9" t="s">
        <v>1453</v>
      </c>
      <c r="Y49" s="9" t="s">
        <v>1459</v>
      </c>
      <c r="Z49" s="9" t="s">
        <v>228</v>
      </c>
      <c r="AA49" s="9" t="s">
        <v>479</v>
      </c>
      <c r="AB49" s="9" t="s">
        <v>230</v>
      </c>
      <c r="AC49" s="9" t="s">
        <v>1106</v>
      </c>
      <c r="AD49" s="9" t="s">
        <v>1117</v>
      </c>
      <c r="AE49" s="9" t="s">
        <v>1452</v>
      </c>
      <c r="AF49" s="9" t="s">
        <v>1460</v>
      </c>
      <c r="AG49" s="9" t="s">
        <v>1461</v>
      </c>
      <c r="AH49" s="9" t="s">
        <v>1462</v>
      </c>
      <c r="AI49" s="9" t="s">
        <v>1152</v>
      </c>
      <c r="AJ49" s="9" t="s">
        <v>1159</v>
      </c>
      <c r="AK49" s="9" t="s">
        <v>234</v>
      </c>
      <c r="AL49" s="9" t="s">
        <v>235</v>
      </c>
      <c r="AM49" s="9" t="s">
        <v>1451</v>
      </c>
      <c r="AN49" s="9" t="s">
        <v>154</v>
      </c>
      <c r="AO49" s="9" t="s">
        <v>1463</v>
      </c>
      <c r="AP49" s="9" t="s">
        <v>1464</v>
      </c>
      <c r="AQ49" s="9" t="s">
        <v>1465</v>
      </c>
      <c r="AR49" s="9" t="s">
        <v>1455</v>
      </c>
      <c r="AS49" s="9" t="s">
        <v>1456</v>
      </c>
      <c r="AT49" s="9" t="s">
        <v>1134</v>
      </c>
      <c r="AU49" s="9" t="s">
        <v>1457</v>
      </c>
      <c r="AV49" s="9" t="s">
        <v>193</v>
      </c>
      <c r="AW49" s="9" t="s">
        <v>194</v>
      </c>
      <c r="AX49" s="9" t="s">
        <v>195</v>
      </c>
      <c r="AY49" s="9" t="s">
        <v>1466</v>
      </c>
      <c r="AZ49" s="9" t="s">
        <v>1467</v>
      </c>
      <c r="BA49" s="9" t="s">
        <v>1468</v>
      </c>
      <c r="BB49" s="9" t="s">
        <v>199</v>
      </c>
      <c r="BC49" s="9" t="s">
        <v>200</v>
      </c>
      <c r="BD49" s="9" t="s">
        <v>201</v>
      </c>
      <c r="BE49" s="9" t="s">
        <v>202</v>
      </c>
      <c r="BF49" s="9" t="s">
        <v>1405</v>
      </c>
      <c r="BG49" s="9" t="s">
        <v>1469</v>
      </c>
      <c r="BH49" s="9" t="s">
        <v>205</v>
      </c>
      <c r="BI49" s="9" t="s">
        <v>1170</v>
      </c>
      <c r="BJ49" s="9" t="s">
        <v>207</v>
      </c>
      <c r="BK49" s="9" t="s">
        <v>208</v>
      </c>
      <c r="BL49" s="9" t="s">
        <v>209</v>
      </c>
      <c r="BM49" s="9" t="s">
        <v>577</v>
      </c>
    </row>
    <row r="50" customFormat="false" ht="216" hidden="false" customHeight="true" outlineLevel="0" collapsed="false">
      <c r="A50" s="9" t="s">
        <v>1470</v>
      </c>
      <c r="B50" s="9" t="s">
        <v>154</v>
      </c>
      <c r="C50" s="9" t="s">
        <v>730</v>
      </c>
      <c r="D50" s="9" t="s">
        <v>1106</v>
      </c>
      <c r="E50" s="9" t="s">
        <v>1281</v>
      </c>
      <c r="F50" s="9" t="s">
        <v>1317</v>
      </c>
      <c r="G50" s="9" t="s">
        <v>1471</v>
      </c>
      <c r="H50" s="9"/>
      <c r="I50" s="9" t="s">
        <v>1472</v>
      </c>
      <c r="J50" s="9" t="s">
        <v>1473</v>
      </c>
      <c r="K50" s="9" t="s">
        <v>1474</v>
      </c>
      <c r="L50" s="9" t="s">
        <v>1475</v>
      </c>
      <c r="M50" s="9" t="s">
        <v>1476</v>
      </c>
      <c r="N50" s="9" t="s">
        <v>558</v>
      </c>
      <c r="O50" s="9" t="s">
        <v>1151</v>
      </c>
      <c r="P50" s="9" t="s">
        <v>1117</v>
      </c>
      <c r="Q50" s="9" t="s">
        <v>559</v>
      </c>
      <c r="R50" s="9" t="s">
        <v>560</v>
      </c>
      <c r="S50" s="9" t="s">
        <v>561</v>
      </c>
      <c r="T50" s="9" t="s">
        <v>562</v>
      </c>
      <c r="U50" s="9" t="s">
        <v>173</v>
      </c>
      <c r="V50" s="9" t="s">
        <v>174</v>
      </c>
      <c r="W50" s="9" t="s">
        <v>1264</v>
      </c>
      <c r="X50" s="9" t="s">
        <v>1471</v>
      </c>
      <c r="Y50" s="9" t="s">
        <v>1477</v>
      </c>
      <c r="Z50" s="9" t="s">
        <v>228</v>
      </c>
      <c r="AA50" s="9" t="s">
        <v>479</v>
      </c>
      <c r="AB50" s="9" t="s">
        <v>230</v>
      </c>
      <c r="AC50" s="9" t="s">
        <v>1106</v>
      </c>
      <c r="AD50" s="9" t="s">
        <v>1117</v>
      </c>
      <c r="AE50" s="9" t="s">
        <v>1317</v>
      </c>
      <c r="AF50" s="9" t="s">
        <v>1478</v>
      </c>
      <c r="AG50" s="9" t="s">
        <v>1479</v>
      </c>
      <c r="AH50" s="9" t="s">
        <v>1480</v>
      </c>
      <c r="AI50" s="9" t="s">
        <v>1313</v>
      </c>
      <c r="AJ50" s="9" t="s">
        <v>1307</v>
      </c>
      <c r="AK50" s="9" t="s">
        <v>184</v>
      </c>
      <c r="AL50" s="9" t="s">
        <v>1481</v>
      </c>
      <c r="AM50" s="9" t="s">
        <v>1281</v>
      </c>
      <c r="AN50" s="9" t="s">
        <v>154</v>
      </c>
      <c r="AO50" s="9" t="s">
        <v>1482</v>
      </c>
      <c r="AP50" s="9" t="s">
        <v>1483</v>
      </c>
      <c r="AQ50" s="9" t="s">
        <v>1484</v>
      </c>
      <c r="AR50" s="9" t="s">
        <v>1473</v>
      </c>
      <c r="AS50" s="9" t="s">
        <v>1474</v>
      </c>
      <c r="AT50" s="9" t="s">
        <v>1134</v>
      </c>
      <c r="AU50" s="9" t="s">
        <v>1475</v>
      </c>
      <c r="AV50" s="9" t="s">
        <v>193</v>
      </c>
      <c r="AW50" s="9" t="s">
        <v>194</v>
      </c>
      <c r="AX50" s="9" t="s">
        <v>195</v>
      </c>
      <c r="AY50" s="9" t="s">
        <v>1485</v>
      </c>
      <c r="AZ50" s="9" t="s">
        <v>1486</v>
      </c>
      <c r="BA50" s="9" t="s">
        <v>1487</v>
      </c>
      <c r="BB50" s="9" t="s">
        <v>199</v>
      </c>
      <c r="BC50" s="9" t="s">
        <v>200</v>
      </c>
      <c r="BD50" s="9" t="s">
        <v>201</v>
      </c>
      <c r="BE50" s="9" t="s">
        <v>202</v>
      </c>
      <c r="BF50" s="9" t="s">
        <v>1488</v>
      </c>
      <c r="BG50" s="9" t="s">
        <v>1489</v>
      </c>
      <c r="BH50" s="9" t="s">
        <v>205</v>
      </c>
      <c r="BI50" s="9" t="s">
        <v>521</v>
      </c>
      <c r="BJ50" s="9" t="s">
        <v>207</v>
      </c>
      <c r="BK50" s="9" t="s">
        <v>208</v>
      </c>
      <c r="BL50" s="9" t="s">
        <v>209</v>
      </c>
      <c r="BM50" s="9" t="s">
        <v>577</v>
      </c>
    </row>
    <row r="51" customFormat="false" ht="189" hidden="false" customHeight="true" outlineLevel="0" collapsed="false">
      <c r="A51" s="9" t="s">
        <v>1490</v>
      </c>
      <c r="B51" s="9" t="s">
        <v>154</v>
      </c>
      <c r="C51" s="9" t="s">
        <v>1196</v>
      </c>
      <c r="D51" s="9" t="s">
        <v>1106</v>
      </c>
      <c r="E51" s="9" t="s">
        <v>1143</v>
      </c>
      <c r="F51" s="9" t="s">
        <v>1491</v>
      </c>
      <c r="G51" s="9" t="s">
        <v>1492</v>
      </c>
      <c r="H51" s="9"/>
      <c r="I51" s="9" t="s">
        <v>1493</v>
      </c>
      <c r="J51" s="9" t="s">
        <v>1494</v>
      </c>
      <c r="K51" s="9" t="s">
        <v>1495</v>
      </c>
      <c r="L51" s="9" t="s">
        <v>1496</v>
      </c>
      <c r="M51" s="9" t="s">
        <v>1497</v>
      </c>
      <c r="N51" s="9" t="s">
        <v>558</v>
      </c>
      <c r="O51" s="9" t="s">
        <v>1180</v>
      </c>
      <c r="P51" s="9" t="s">
        <v>1117</v>
      </c>
      <c r="Q51" s="9" t="s">
        <v>559</v>
      </c>
      <c r="R51" s="9" t="s">
        <v>560</v>
      </c>
      <c r="S51" s="9" t="s">
        <v>561</v>
      </c>
      <c r="T51" s="9" t="s">
        <v>562</v>
      </c>
      <c r="U51" s="9" t="s">
        <v>173</v>
      </c>
      <c r="V51" s="9" t="s">
        <v>174</v>
      </c>
      <c r="W51" s="9" t="s">
        <v>1498</v>
      </c>
      <c r="X51" s="9" t="s">
        <v>1492</v>
      </c>
      <c r="Y51" s="9" t="s">
        <v>1499</v>
      </c>
      <c r="Z51" s="9" t="s">
        <v>228</v>
      </c>
      <c r="AA51" s="9" t="s">
        <v>479</v>
      </c>
      <c r="AB51" s="9" t="s">
        <v>230</v>
      </c>
      <c r="AC51" s="9" t="s">
        <v>1106</v>
      </c>
      <c r="AD51" s="9" t="s">
        <v>1117</v>
      </c>
      <c r="AE51" s="9" t="s">
        <v>1491</v>
      </c>
      <c r="AF51" s="9" t="s">
        <v>480</v>
      </c>
      <c r="AG51" s="9" t="s">
        <v>481</v>
      </c>
      <c r="AH51" s="9" t="s">
        <v>481</v>
      </c>
      <c r="AI51" s="9" t="s">
        <v>1262</v>
      </c>
      <c r="AJ51" s="9" t="s">
        <v>1255</v>
      </c>
      <c r="AK51" s="9" t="s">
        <v>482</v>
      </c>
      <c r="AL51" s="9" t="s">
        <v>483</v>
      </c>
      <c r="AM51" s="9" t="s">
        <v>1143</v>
      </c>
      <c r="AN51" s="9" t="s">
        <v>154</v>
      </c>
      <c r="AO51" s="9" t="s">
        <v>1500</v>
      </c>
      <c r="AP51" s="9" t="s">
        <v>1501</v>
      </c>
      <c r="AQ51" s="9" t="s">
        <v>1502</v>
      </c>
      <c r="AR51" s="9" t="s">
        <v>1494</v>
      </c>
      <c r="AS51" s="9" t="s">
        <v>1495</v>
      </c>
      <c r="AT51" s="9" t="s">
        <v>1134</v>
      </c>
      <c r="AU51" s="9" t="s">
        <v>1496</v>
      </c>
      <c r="AV51" s="9" t="s">
        <v>193</v>
      </c>
      <c r="AW51" s="9" t="s">
        <v>194</v>
      </c>
      <c r="AX51" s="9" t="s">
        <v>195</v>
      </c>
      <c r="AY51" s="9" t="s">
        <v>1503</v>
      </c>
      <c r="AZ51" s="9" t="s">
        <v>1504</v>
      </c>
      <c r="BA51" s="9" t="s">
        <v>1505</v>
      </c>
      <c r="BB51" s="9" t="s">
        <v>199</v>
      </c>
      <c r="BC51" s="9" t="s">
        <v>200</v>
      </c>
      <c r="BD51" s="9" t="s">
        <v>201</v>
      </c>
      <c r="BE51" s="9" t="s">
        <v>202</v>
      </c>
      <c r="BF51" s="9" t="s">
        <v>1506</v>
      </c>
      <c r="BG51" s="9" t="s">
        <v>1507</v>
      </c>
      <c r="BH51" s="9" t="s">
        <v>205</v>
      </c>
      <c r="BI51" s="9" t="s">
        <v>521</v>
      </c>
      <c r="BJ51" s="9" t="s">
        <v>207</v>
      </c>
      <c r="BK51" s="9" t="s">
        <v>208</v>
      </c>
      <c r="BL51" s="9" t="s">
        <v>209</v>
      </c>
      <c r="BM51" s="9" t="s">
        <v>577</v>
      </c>
    </row>
  </sheetData>
  <conditionalFormatting sqref="BK2:BK51">
    <cfRule type="cellIs" priority="2" operator="equal" aboveAverage="0" equalAverage="0" bottom="0" percent="0" rank="0" text="" dxfId="5">
      <formula>"VERIFIED"</formula>
    </cfRule>
    <cfRule type="cellIs" priority="3" operator="equal" aboveAverage="0" equalAverage="0" bottom="0" percent="0" rank="0" text="" dxfId="6">
      <formula>"PENDING_VALIDATION"</formula>
    </cfRule>
    <cfRule type="cellIs" priority="4" operator="equal" aboveAverage="0" equalAverage="0" bottom="0" percent="0" rank="0" text="" dxfId="7">
      <formula>"DRAFT"</formula>
    </cfRule>
    <cfRule type="cellIs" priority="5" operator="equal" aboveAverage="0" equalAverage="0" bottom="0" percent="0" rank="0" text="" dxfId="8">
      <formula>"REJECTED"</formula>
    </cfRule>
    <cfRule type="cellIs" priority="6" operator="equal" aboveAverage="0" equalAverage="0" bottom="0" percent="0" rank="0" text="" dxfId="8">
      <formula>"REVOKED"</formula>
    </cfRule>
  </conditionalFormatting>
  <conditionalFormatting sqref="AK2:AK51">
    <cfRule type="expression" priority="7" aboveAverage="0" equalAverage="0" bottom="0" percent="0" rank="0" text="" dxfId="6">
      <formula>LEFT(AK2,3)&lt;&gt;"MAP"</formula>
    </cfRule>
  </conditionalFormatting>
  <dataValidations count="8">
    <dataValidation allowBlank="false" errorStyle="stop" operator="between" showDropDown="false" showErrorMessage="false" showInputMessage="false" sqref="D2:D51" type="list">
      <formula1>Lists!$A$2:$A$4</formula1>
      <formula2>0</formula2>
    </dataValidation>
    <dataValidation allowBlank="false" errorStyle="stop" operator="between" showDropDown="false" showErrorMessage="false" showInputMessage="false" sqref="AC2:AC51" type="list">
      <formula1>Lists!$A$2:$A$4</formula1>
      <formula2>0</formula2>
    </dataValidation>
    <dataValidation allowBlank="false" errorStyle="stop" operator="between" showDropDown="false" showErrorMessage="false" showInputMessage="false" sqref="U2:U51" type="list">
      <formula1>Lists!$B$2:$B$5</formula1>
      <formula2>0</formula2>
    </dataValidation>
    <dataValidation allowBlank="false" errorStyle="stop" operator="between" showDropDown="false" showErrorMessage="false" showInputMessage="false" sqref="V2:V51" type="list">
      <formula1>Lists!$C$2:$C$6</formula1>
      <formula2>0</formula2>
    </dataValidation>
    <dataValidation allowBlank="false" errorStyle="stop" operator="between" showDropDown="false" showErrorMessage="false" showInputMessage="false" sqref="BH2:BH51" type="list">
      <formula1>Lists!$E$2:$E$5</formula1>
      <formula2>0</formula2>
    </dataValidation>
    <dataValidation allowBlank="false" errorStyle="stop" operator="between" showDropDown="false" showErrorMessage="false" showInputMessage="false" sqref="BK2:BK51" type="list">
      <formula1>Lists!$F$2:$F$6</formula1>
      <formula2>0</formula2>
    </dataValidation>
    <dataValidation allowBlank="false" errorStyle="stop" operator="between" showDropDown="false" showErrorMessage="false" showInputMessage="false" sqref="BL2:BL51" type="list">
      <formula1>Lists!$G$2:$G$5</formula1>
      <formula2>0</formula2>
    </dataValidation>
    <dataValidation allowBlank="false" errorStyle="stop" operator="between" showDropDown="false" showErrorMessage="false" showInputMessage="false" sqref="BB2:BB51" type="list">
      <formula1>Lists!$H$2:$H$3</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Y5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51" min="1" style="1" width="22"/>
  </cols>
  <sheetData>
    <row r="1" customFormat="false" ht="27.75" hidden="false" customHeight="true" outlineLevel="0" collapsed="false">
      <c r="A1" s="7" t="s">
        <v>1508</v>
      </c>
      <c r="B1" s="7" t="s">
        <v>1509</v>
      </c>
      <c r="C1" s="7" t="s">
        <v>1510</v>
      </c>
      <c r="D1" s="7" t="s">
        <v>1511</v>
      </c>
      <c r="E1" s="7" t="s">
        <v>1512</v>
      </c>
      <c r="F1" s="7" t="s">
        <v>1513</v>
      </c>
      <c r="G1" s="7" t="s">
        <v>1514</v>
      </c>
      <c r="H1" s="7" t="s">
        <v>1515</v>
      </c>
      <c r="I1" s="7" t="s">
        <v>1516</v>
      </c>
      <c r="J1" s="7" t="s">
        <v>1517</v>
      </c>
      <c r="K1" s="7" t="s">
        <v>1518</v>
      </c>
      <c r="L1" s="7" t="s">
        <v>1519</v>
      </c>
      <c r="M1" s="7" t="s">
        <v>1520</v>
      </c>
      <c r="N1" s="7" t="s">
        <v>1521</v>
      </c>
      <c r="O1" s="7" t="s">
        <v>1522</v>
      </c>
      <c r="P1" s="7" t="s">
        <v>1523</v>
      </c>
      <c r="Q1" s="7" t="s">
        <v>1524</v>
      </c>
      <c r="R1" s="7" t="s">
        <v>1525</v>
      </c>
      <c r="S1" s="7" t="s">
        <v>1526</v>
      </c>
      <c r="T1" s="7" t="s">
        <v>1527</v>
      </c>
      <c r="U1" s="7" t="s">
        <v>1528</v>
      </c>
      <c r="V1" s="7" t="s">
        <v>1529</v>
      </c>
      <c r="W1" s="7" t="s">
        <v>1530</v>
      </c>
      <c r="X1" s="7" t="s">
        <v>1531</v>
      </c>
      <c r="Y1" s="7" t="s">
        <v>1532</v>
      </c>
      <c r="Z1" s="7" t="s">
        <v>1533</v>
      </c>
      <c r="AA1" s="7" t="s">
        <v>1534</v>
      </c>
      <c r="AB1" s="7" t="s">
        <v>1535</v>
      </c>
      <c r="AC1" s="7" t="s">
        <v>1536</v>
      </c>
      <c r="AD1" s="7" t="s">
        <v>1537</v>
      </c>
      <c r="AE1" s="7" t="s">
        <v>1538</v>
      </c>
      <c r="AF1" s="7" t="s">
        <v>1539</v>
      </c>
      <c r="AG1" s="7" t="s">
        <v>1540</v>
      </c>
      <c r="AH1" s="7" t="s">
        <v>1541</v>
      </c>
      <c r="AI1" s="7" t="s">
        <v>1542</v>
      </c>
      <c r="AJ1" s="7" t="s">
        <v>1543</v>
      </c>
      <c r="AK1" s="7" t="s">
        <v>1544</v>
      </c>
      <c r="AL1" s="7" t="s">
        <v>1545</v>
      </c>
      <c r="AM1" s="7" t="s">
        <v>1546</v>
      </c>
      <c r="AN1" s="7" t="s">
        <v>1547</v>
      </c>
      <c r="AO1" s="7" t="s">
        <v>1548</v>
      </c>
      <c r="AP1" s="7" t="s">
        <v>1549</v>
      </c>
      <c r="AQ1" s="7" t="s">
        <v>1550</v>
      </c>
      <c r="AR1" s="7" t="s">
        <v>1551</v>
      </c>
      <c r="AS1" s="7" t="s">
        <v>1552</v>
      </c>
      <c r="AT1" s="7" t="s">
        <v>73</v>
      </c>
      <c r="AU1" s="7" t="s">
        <v>1553</v>
      </c>
      <c r="AV1" s="11" t="s">
        <v>1554</v>
      </c>
      <c r="AW1" s="11" t="s">
        <v>1555</v>
      </c>
      <c r="AX1" s="11" t="s">
        <v>1556</v>
      </c>
      <c r="AY1" s="11" t="s">
        <v>1557</v>
      </c>
    </row>
    <row r="2" customFormat="false" ht="41.25" hidden="false" customHeight="true" outlineLevel="0" collapsed="false">
      <c r="A2" s="1" t="s">
        <v>153</v>
      </c>
      <c r="B2" s="1" t="s">
        <v>156</v>
      </c>
      <c r="C2" s="1" t="s">
        <v>168</v>
      </c>
      <c r="D2" s="1" t="s">
        <v>154</v>
      </c>
      <c r="E2" s="1" t="s">
        <v>155</v>
      </c>
      <c r="F2" s="1" t="s">
        <v>157</v>
      </c>
      <c r="G2" s="1" t="s">
        <v>158</v>
      </c>
      <c r="H2" s="1" t="s">
        <v>181</v>
      </c>
      <c r="I2" s="1" t="s">
        <v>182</v>
      </c>
      <c r="J2" s="1" t="s">
        <v>160</v>
      </c>
      <c r="M2" s="1" t="s">
        <v>184</v>
      </c>
      <c r="N2" s="1" t="s">
        <v>175</v>
      </c>
      <c r="O2" s="1" t="s">
        <v>176</v>
      </c>
      <c r="P2" s="1" t="s">
        <v>177</v>
      </c>
      <c r="Q2" s="1" t="s">
        <v>178</v>
      </c>
      <c r="R2" s="1" t="s">
        <v>179</v>
      </c>
      <c r="S2" s="1" t="s">
        <v>180</v>
      </c>
      <c r="T2" s="1" t="s">
        <v>186</v>
      </c>
      <c r="U2" s="1" t="s">
        <v>187</v>
      </c>
      <c r="V2" s="1" t="s">
        <v>188</v>
      </c>
      <c r="W2" s="1" t="s">
        <v>196</v>
      </c>
      <c r="X2" s="12" t="s">
        <v>190</v>
      </c>
      <c r="Y2" s="1" t="s">
        <v>191</v>
      </c>
      <c r="Z2" s="12" t="s">
        <v>192</v>
      </c>
      <c r="AA2" s="1" t="s">
        <v>193</v>
      </c>
      <c r="AB2" s="1" t="s">
        <v>197</v>
      </c>
      <c r="AC2" s="1" t="s">
        <v>198</v>
      </c>
      <c r="AD2" s="1" t="s">
        <v>199</v>
      </c>
      <c r="AE2" s="1" t="s">
        <v>200</v>
      </c>
      <c r="AF2" s="1" t="s">
        <v>201</v>
      </c>
      <c r="AG2" s="1" t="s">
        <v>202</v>
      </c>
      <c r="AH2" s="1" t="s">
        <v>203</v>
      </c>
      <c r="AI2" s="1" t="s">
        <v>204</v>
      </c>
      <c r="AJ2" s="1" t="s">
        <v>205</v>
      </c>
      <c r="AK2" s="1" t="s">
        <v>206</v>
      </c>
      <c r="AL2" s="1" t="s">
        <v>207</v>
      </c>
      <c r="AM2" s="1" t="s">
        <v>208</v>
      </c>
      <c r="AN2" s="1" t="s">
        <v>209</v>
      </c>
      <c r="AO2" s="1" t="s">
        <v>173</v>
      </c>
      <c r="AP2" s="1" t="s">
        <v>174</v>
      </c>
      <c r="AQ2" s="1" t="s">
        <v>172</v>
      </c>
      <c r="AR2" s="1" t="s">
        <v>172</v>
      </c>
      <c r="AS2" s="1" t="s">
        <v>1558</v>
      </c>
      <c r="AT2" s="1" t="s">
        <v>1559</v>
      </c>
      <c r="AU2" s="1" t="s">
        <v>562</v>
      </c>
      <c r="AV2" s="1" t="s">
        <v>562</v>
      </c>
      <c r="AW2" s="1" t="s">
        <v>172</v>
      </c>
    </row>
    <row r="3" customFormat="false" ht="41.25" hidden="false" customHeight="true" outlineLevel="0" collapsed="false">
      <c r="A3" s="1" t="s">
        <v>211</v>
      </c>
      <c r="B3" s="1" t="s">
        <v>156</v>
      </c>
      <c r="C3" s="1" t="s">
        <v>168</v>
      </c>
      <c r="D3" s="1" t="s">
        <v>212</v>
      </c>
      <c r="E3" s="1" t="s">
        <v>213</v>
      </c>
      <c r="F3" s="1" t="s">
        <v>214</v>
      </c>
      <c r="G3" s="1" t="s">
        <v>215</v>
      </c>
      <c r="H3" s="1" t="s">
        <v>231</v>
      </c>
      <c r="I3" s="1" t="s">
        <v>232</v>
      </c>
      <c r="J3" s="1" t="s">
        <v>217</v>
      </c>
      <c r="K3" s="1" t="s">
        <v>224</v>
      </c>
      <c r="L3" s="1" t="s">
        <v>233</v>
      </c>
      <c r="M3" s="1" t="s">
        <v>234</v>
      </c>
      <c r="N3" s="1" t="s">
        <v>225</v>
      </c>
      <c r="O3" s="1" t="s">
        <v>226</v>
      </c>
      <c r="P3" s="1" t="s">
        <v>227</v>
      </c>
      <c r="Q3" s="1" t="s">
        <v>228</v>
      </c>
      <c r="R3" s="1" t="s">
        <v>229</v>
      </c>
      <c r="S3" s="1" t="s">
        <v>230</v>
      </c>
      <c r="T3" s="1" t="s">
        <v>236</v>
      </c>
      <c r="U3" s="1" t="s">
        <v>237</v>
      </c>
      <c r="V3" s="1" t="s">
        <v>238</v>
      </c>
      <c r="W3" s="1" t="s">
        <v>242</v>
      </c>
      <c r="X3" s="12" t="s">
        <v>240</v>
      </c>
      <c r="Y3" s="1" t="s">
        <v>191</v>
      </c>
      <c r="Z3" s="12" t="s">
        <v>241</v>
      </c>
      <c r="AA3" s="1" t="s">
        <v>193</v>
      </c>
      <c r="AB3" s="1" t="s">
        <v>243</v>
      </c>
      <c r="AC3" s="1" t="s">
        <v>244</v>
      </c>
      <c r="AD3" s="1" t="s">
        <v>199</v>
      </c>
      <c r="AE3" s="1" t="s">
        <v>200</v>
      </c>
      <c r="AF3" s="1" t="s">
        <v>201</v>
      </c>
      <c r="AG3" s="1" t="s">
        <v>202</v>
      </c>
      <c r="AH3" s="1" t="s">
        <v>245</v>
      </c>
      <c r="AI3" s="1" t="s">
        <v>246</v>
      </c>
      <c r="AJ3" s="1" t="s">
        <v>205</v>
      </c>
      <c r="AK3" s="1" t="s">
        <v>247</v>
      </c>
      <c r="AL3" s="1" t="s">
        <v>207</v>
      </c>
      <c r="AM3" s="1" t="s">
        <v>208</v>
      </c>
      <c r="AN3" s="1" t="s">
        <v>209</v>
      </c>
      <c r="AO3" s="1" t="s">
        <v>173</v>
      </c>
      <c r="AP3" s="1" t="s">
        <v>174</v>
      </c>
      <c r="AQ3" s="1" t="s">
        <v>172</v>
      </c>
      <c r="AR3" s="1" t="s">
        <v>172</v>
      </c>
      <c r="AS3" s="1" t="s">
        <v>1558</v>
      </c>
      <c r="AT3" s="1" t="s">
        <v>1559</v>
      </c>
      <c r="AU3" s="1" t="s">
        <v>562</v>
      </c>
      <c r="AV3" s="1" t="s">
        <v>562</v>
      </c>
      <c r="AW3" s="1" t="s">
        <v>562</v>
      </c>
    </row>
    <row r="4" customFormat="false" ht="41.25" hidden="false" customHeight="true" outlineLevel="0" collapsed="false">
      <c r="A4" s="1" t="s">
        <v>248</v>
      </c>
      <c r="B4" s="1" t="s">
        <v>156</v>
      </c>
      <c r="C4" s="1" t="s">
        <v>168</v>
      </c>
      <c r="D4" s="1" t="s">
        <v>154</v>
      </c>
      <c r="E4" s="1" t="s">
        <v>155</v>
      </c>
      <c r="F4" s="1" t="s">
        <v>249</v>
      </c>
      <c r="G4" s="1" t="s">
        <v>268</v>
      </c>
      <c r="H4" s="1" t="s">
        <v>269</v>
      </c>
      <c r="I4" s="1" t="s">
        <v>270</v>
      </c>
      <c r="J4" s="1" t="s">
        <v>271</v>
      </c>
      <c r="K4" s="1" t="s">
        <v>260</v>
      </c>
      <c r="L4" s="1" t="s">
        <v>252</v>
      </c>
      <c r="M4" s="1" t="s">
        <v>234</v>
      </c>
      <c r="N4" s="1" t="s">
        <v>263</v>
      </c>
      <c r="O4" s="1" t="s">
        <v>264</v>
      </c>
      <c r="P4" s="1" t="s">
        <v>265</v>
      </c>
      <c r="Q4" s="1" t="s">
        <v>266</v>
      </c>
      <c r="R4" s="1" t="s">
        <v>267</v>
      </c>
      <c r="S4" s="1" t="s">
        <v>230</v>
      </c>
      <c r="T4" s="1" t="s">
        <v>272</v>
      </c>
      <c r="U4" s="1" t="s">
        <v>273</v>
      </c>
      <c r="V4" s="1" t="s">
        <v>274</v>
      </c>
      <c r="W4" s="1" t="s">
        <v>278</v>
      </c>
      <c r="X4" s="12" t="s">
        <v>276</v>
      </c>
      <c r="Y4" s="1" t="s">
        <v>191</v>
      </c>
      <c r="Z4" s="12" t="s">
        <v>277</v>
      </c>
      <c r="AA4" s="1" t="s">
        <v>193</v>
      </c>
      <c r="AB4" s="1" t="s">
        <v>279</v>
      </c>
      <c r="AC4" s="1" t="s">
        <v>280</v>
      </c>
      <c r="AD4" s="1" t="s">
        <v>199</v>
      </c>
      <c r="AE4" s="1" t="s">
        <v>200</v>
      </c>
      <c r="AF4" s="1" t="s">
        <v>201</v>
      </c>
      <c r="AG4" s="1" t="s">
        <v>202</v>
      </c>
      <c r="AH4" s="1" t="s">
        <v>281</v>
      </c>
      <c r="AI4" s="1" t="s">
        <v>282</v>
      </c>
      <c r="AJ4" s="1" t="s">
        <v>205</v>
      </c>
      <c r="AK4" s="1" t="s">
        <v>206</v>
      </c>
      <c r="AL4" s="1" t="s">
        <v>207</v>
      </c>
      <c r="AM4" s="1" t="s">
        <v>208</v>
      </c>
      <c r="AN4" s="1" t="s">
        <v>209</v>
      </c>
      <c r="AO4" s="1" t="s">
        <v>173</v>
      </c>
      <c r="AP4" s="1" t="s">
        <v>174</v>
      </c>
      <c r="AQ4" s="1" t="s">
        <v>172</v>
      </c>
      <c r="AR4" s="1" t="s">
        <v>172</v>
      </c>
      <c r="AS4" s="1" t="s">
        <v>1558</v>
      </c>
      <c r="AT4" s="1" t="s">
        <v>1559</v>
      </c>
      <c r="AU4" s="1" t="s">
        <v>562</v>
      </c>
      <c r="AV4" s="1" t="s">
        <v>562</v>
      </c>
      <c r="AW4" s="1" t="s">
        <v>562</v>
      </c>
    </row>
    <row r="5" customFormat="false" ht="41.25" hidden="false" customHeight="true" outlineLevel="0" collapsed="false">
      <c r="A5" s="1" t="s">
        <v>283</v>
      </c>
      <c r="B5" s="1" t="s">
        <v>156</v>
      </c>
      <c r="C5" s="1" t="s">
        <v>168</v>
      </c>
      <c r="D5" s="1" t="s">
        <v>212</v>
      </c>
      <c r="E5" s="1" t="s">
        <v>155</v>
      </c>
      <c r="F5" s="1" t="s">
        <v>157</v>
      </c>
      <c r="G5" s="1" t="s">
        <v>299</v>
      </c>
      <c r="H5" s="1" t="s">
        <v>300</v>
      </c>
      <c r="I5" s="1" t="s">
        <v>301</v>
      </c>
      <c r="J5" s="1" t="s">
        <v>302</v>
      </c>
      <c r="K5" s="1" t="s">
        <v>293</v>
      </c>
      <c r="L5" s="1" t="s">
        <v>286</v>
      </c>
      <c r="M5" s="1" t="s">
        <v>234</v>
      </c>
      <c r="N5" s="1" t="s">
        <v>295</v>
      </c>
      <c r="O5" s="1" t="s">
        <v>296</v>
      </c>
      <c r="P5" s="1" t="s">
        <v>297</v>
      </c>
      <c r="Q5" s="1" t="s">
        <v>228</v>
      </c>
      <c r="R5" s="1" t="s">
        <v>298</v>
      </c>
      <c r="S5" s="1" t="s">
        <v>230</v>
      </c>
      <c r="T5" s="1" t="s">
        <v>303</v>
      </c>
      <c r="U5" s="1" t="s">
        <v>304</v>
      </c>
      <c r="V5" s="1" t="s">
        <v>305</v>
      </c>
      <c r="W5" s="1" t="s">
        <v>309</v>
      </c>
      <c r="X5" s="12" t="s">
        <v>307</v>
      </c>
      <c r="Y5" s="1" t="s">
        <v>191</v>
      </c>
      <c r="Z5" s="12" t="s">
        <v>308</v>
      </c>
      <c r="AA5" s="1" t="s">
        <v>193</v>
      </c>
      <c r="AB5" s="1" t="s">
        <v>310</v>
      </c>
      <c r="AC5" s="1" t="s">
        <v>311</v>
      </c>
      <c r="AD5" s="1" t="s">
        <v>199</v>
      </c>
      <c r="AE5" s="1" t="s">
        <v>200</v>
      </c>
      <c r="AF5" s="1" t="s">
        <v>201</v>
      </c>
      <c r="AG5" s="1" t="s">
        <v>202</v>
      </c>
      <c r="AH5" s="1" t="s">
        <v>312</v>
      </c>
      <c r="AI5" s="1" t="s">
        <v>313</v>
      </c>
      <c r="AJ5" s="1" t="s">
        <v>205</v>
      </c>
      <c r="AK5" s="1" t="s">
        <v>314</v>
      </c>
      <c r="AL5" s="1" t="s">
        <v>207</v>
      </c>
      <c r="AM5" s="1" t="s">
        <v>208</v>
      </c>
      <c r="AN5" s="1" t="s">
        <v>209</v>
      </c>
      <c r="AO5" s="1" t="s">
        <v>173</v>
      </c>
      <c r="AP5" s="1" t="s">
        <v>174</v>
      </c>
      <c r="AQ5" s="1" t="s">
        <v>172</v>
      </c>
      <c r="AR5" s="1" t="s">
        <v>172</v>
      </c>
      <c r="AS5" s="1" t="s">
        <v>1558</v>
      </c>
      <c r="AT5" s="1" t="s">
        <v>1559</v>
      </c>
      <c r="AU5" s="1" t="s">
        <v>562</v>
      </c>
      <c r="AV5" s="1" t="s">
        <v>562</v>
      </c>
      <c r="AW5" s="1" t="s">
        <v>562</v>
      </c>
    </row>
    <row r="6" customFormat="false" ht="41.25" hidden="false" customHeight="true" outlineLevel="0" collapsed="false">
      <c r="A6" s="1" t="s">
        <v>315</v>
      </c>
      <c r="B6" s="1" t="s">
        <v>156</v>
      </c>
      <c r="C6" s="1" t="s">
        <v>168</v>
      </c>
      <c r="D6" s="1" t="s">
        <v>316</v>
      </c>
      <c r="E6" s="1" t="s">
        <v>213</v>
      </c>
      <c r="F6" s="1" t="s">
        <v>157</v>
      </c>
      <c r="G6" s="1" t="s">
        <v>332</v>
      </c>
      <c r="H6" s="1" t="s">
        <v>333</v>
      </c>
      <c r="I6" s="1" t="s">
        <v>334</v>
      </c>
      <c r="J6" s="1" t="s">
        <v>319</v>
      </c>
      <c r="K6" s="1" t="s">
        <v>325</v>
      </c>
      <c r="L6" s="1" t="s">
        <v>319</v>
      </c>
      <c r="M6" s="1" t="s">
        <v>234</v>
      </c>
      <c r="N6" s="1" t="s">
        <v>327</v>
      </c>
      <c r="O6" s="1" t="s">
        <v>328</v>
      </c>
      <c r="P6" s="1" t="s">
        <v>329</v>
      </c>
      <c r="Q6" s="1" t="s">
        <v>228</v>
      </c>
      <c r="R6" s="1" t="s">
        <v>330</v>
      </c>
      <c r="S6" s="1" t="s">
        <v>331</v>
      </c>
      <c r="T6" s="1" t="s">
        <v>335</v>
      </c>
      <c r="U6" s="1" t="s">
        <v>336</v>
      </c>
      <c r="V6" s="1" t="s">
        <v>337</v>
      </c>
      <c r="W6" s="1" t="s">
        <v>341</v>
      </c>
      <c r="X6" s="12" t="s">
        <v>339</v>
      </c>
      <c r="Y6" s="1" t="s">
        <v>191</v>
      </c>
      <c r="Z6" s="12" t="s">
        <v>340</v>
      </c>
      <c r="AA6" s="1" t="s">
        <v>193</v>
      </c>
      <c r="AB6" s="1" t="s">
        <v>342</v>
      </c>
      <c r="AC6" s="1" t="s">
        <v>343</v>
      </c>
      <c r="AD6" s="1" t="s">
        <v>199</v>
      </c>
      <c r="AE6" s="1" t="s">
        <v>200</v>
      </c>
      <c r="AF6" s="1" t="s">
        <v>201</v>
      </c>
      <c r="AG6" s="1" t="s">
        <v>202</v>
      </c>
      <c r="AH6" s="1" t="s">
        <v>344</v>
      </c>
      <c r="AI6" s="1" t="s">
        <v>345</v>
      </c>
      <c r="AJ6" s="1" t="s">
        <v>205</v>
      </c>
      <c r="AK6" s="1" t="s">
        <v>346</v>
      </c>
      <c r="AL6" s="1" t="s">
        <v>207</v>
      </c>
      <c r="AM6" s="1" t="s">
        <v>208</v>
      </c>
      <c r="AN6" s="1" t="s">
        <v>209</v>
      </c>
      <c r="AO6" s="1" t="s">
        <v>173</v>
      </c>
      <c r="AP6" s="1" t="s">
        <v>174</v>
      </c>
      <c r="AQ6" s="1" t="s">
        <v>172</v>
      </c>
      <c r="AR6" s="1" t="s">
        <v>172</v>
      </c>
      <c r="AS6" s="1" t="s">
        <v>1558</v>
      </c>
      <c r="AT6" s="1" t="s">
        <v>1559</v>
      </c>
      <c r="AU6" s="1" t="s">
        <v>562</v>
      </c>
      <c r="AV6" s="1" t="s">
        <v>562</v>
      </c>
      <c r="AW6" s="1" t="s">
        <v>562</v>
      </c>
    </row>
    <row r="7" customFormat="false" ht="41.25" hidden="false" customHeight="true" outlineLevel="0" collapsed="false">
      <c r="A7" s="1" t="s">
        <v>347</v>
      </c>
      <c r="B7" s="1" t="s">
        <v>156</v>
      </c>
      <c r="C7" s="1" t="s">
        <v>168</v>
      </c>
      <c r="D7" s="1" t="s">
        <v>316</v>
      </c>
      <c r="E7" s="1" t="s">
        <v>348</v>
      </c>
      <c r="F7" s="1" t="s">
        <v>349</v>
      </c>
      <c r="G7" s="1" t="s">
        <v>215</v>
      </c>
      <c r="H7" s="1" t="s">
        <v>231</v>
      </c>
      <c r="I7" s="1" t="s">
        <v>232</v>
      </c>
      <c r="J7" s="1" t="s">
        <v>217</v>
      </c>
      <c r="K7" s="1" t="s">
        <v>224</v>
      </c>
      <c r="L7" s="1" t="s">
        <v>233</v>
      </c>
      <c r="M7" s="1" t="s">
        <v>184</v>
      </c>
      <c r="N7" s="1" t="s">
        <v>225</v>
      </c>
      <c r="O7" s="1" t="s">
        <v>358</v>
      </c>
      <c r="P7" s="1" t="s">
        <v>359</v>
      </c>
      <c r="Q7" s="1" t="s">
        <v>360</v>
      </c>
      <c r="R7" s="1" t="s">
        <v>361</v>
      </c>
      <c r="S7" s="1" t="s">
        <v>230</v>
      </c>
      <c r="T7" s="1" t="s">
        <v>363</v>
      </c>
      <c r="U7" s="1" t="s">
        <v>364</v>
      </c>
      <c r="V7" s="1" t="s">
        <v>365</v>
      </c>
      <c r="W7" s="1" t="s">
        <v>369</v>
      </c>
      <c r="X7" s="12" t="s">
        <v>367</v>
      </c>
      <c r="Y7" s="1" t="s">
        <v>191</v>
      </c>
      <c r="Z7" s="12" t="s">
        <v>368</v>
      </c>
      <c r="AA7" s="1" t="s">
        <v>193</v>
      </c>
      <c r="AB7" s="1" t="s">
        <v>370</v>
      </c>
      <c r="AC7" s="1" t="s">
        <v>371</v>
      </c>
      <c r="AD7" s="1" t="s">
        <v>199</v>
      </c>
      <c r="AE7" s="1" t="s">
        <v>200</v>
      </c>
      <c r="AF7" s="1" t="s">
        <v>201</v>
      </c>
      <c r="AG7" s="1" t="s">
        <v>202</v>
      </c>
      <c r="AH7" s="1" t="s">
        <v>372</v>
      </c>
      <c r="AI7" s="1" t="s">
        <v>373</v>
      </c>
      <c r="AJ7" s="1" t="s">
        <v>205</v>
      </c>
      <c r="AK7" s="1" t="s">
        <v>374</v>
      </c>
      <c r="AL7" s="1" t="s">
        <v>207</v>
      </c>
      <c r="AM7" s="1" t="s">
        <v>208</v>
      </c>
      <c r="AN7" s="1" t="s">
        <v>209</v>
      </c>
      <c r="AO7" s="1" t="s">
        <v>173</v>
      </c>
      <c r="AP7" s="1" t="s">
        <v>174</v>
      </c>
      <c r="AQ7" s="1" t="s">
        <v>172</v>
      </c>
      <c r="AR7" s="1" t="s">
        <v>172</v>
      </c>
      <c r="AS7" s="1" t="s">
        <v>1558</v>
      </c>
      <c r="AT7" s="1" t="s">
        <v>1559</v>
      </c>
      <c r="AU7" s="1" t="s">
        <v>562</v>
      </c>
      <c r="AV7" s="1" t="s">
        <v>562</v>
      </c>
      <c r="AW7" s="1" t="s">
        <v>562</v>
      </c>
    </row>
    <row r="8" customFormat="false" ht="41.25" hidden="false" customHeight="true" outlineLevel="0" collapsed="false">
      <c r="A8" s="1" t="s">
        <v>375</v>
      </c>
      <c r="B8" s="1" t="s">
        <v>156</v>
      </c>
      <c r="C8" s="1" t="s">
        <v>168</v>
      </c>
      <c r="D8" s="1" t="s">
        <v>212</v>
      </c>
      <c r="E8" s="1" t="s">
        <v>348</v>
      </c>
      <c r="F8" s="1" t="s">
        <v>376</v>
      </c>
      <c r="G8" s="1" t="s">
        <v>158</v>
      </c>
      <c r="H8" s="1" t="s">
        <v>181</v>
      </c>
      <c r="I8" s="1" t="s">
        <v>182</v>
      </c>
      <c r="J8" s="1" t="s">
        <v>160</v>
      </c>
      <c r="K8" s="1" t="s">
        <v>385</v>
      </c>
      <c r="L8" s="1" t="s">
        <v>379</v>
      </c>
      <c r="M8" s="1" t="s">
        <v>234</v>
      </c>
      <c r="N8" s="1" t="s">
        <v>387</v>
      </c>
      <c r="O8" s="1" t="s">
        <v>388</v>
      </c>
      <c r="P8" s="1" t="s">
        <v>389</v>
      </c>
      <c r="Q8" s="1" t="s">
        <v>228</v>
      </c>
      <c r="R8" s="1" t="s">
        <v>390</v>
      </c>
      <c r="S8" s="1" t="s">
        <v>180</v>
      </c>
      <c r="T8" s="1" t="s">
        <v>391</v>
      </c>
      <c r="U8" s="1" t="s">
        <v>392</v>
      </c>
      <c r="V8" s="1" t="s">
        <v>393</v>
      </c>
      <c r="W8" s="1" t="s">
        <v>397</v>
      </c>
      <c r="X8" s="12" t="s">
        <v>395</v>
      </c>
      <c r="Y8" s="1" t="s">
        <v>191</v>
      </c>
      <c r="Z8" s="12" t="s">
        <v>396</v>
      </c>
      <c r="AA8" s="1" t="s">
        <v>193</v>
      </c>
      <c r="AB8" s="1" t="s">
        <v>398</v>
      </c>
      <c r="AC8" s="1" t="s">
        <v>399</v>
      </c>
      <c r="AD8" s="1" t="s">
        <v>199</v>
      </c>
      <c r="AE8" s="1" t="s">
        <v>200</v>
      </c>
      <c r="AF8" s="1" t="s">
        <v>201</v>
      </c>
      <c r="AG8" s="1" t="s">
        <v>202</v>
      </c>
      <c r="AH8" s="1" t="s">
        <v>400</v>
      </c>
      <c r="AI8" s="1" t="s">
        <v>401</v>
      </c>
      <c r="AJ8" s="1" t="s">
        <v>205</v>
      </c>
      <c r="AK8" s="1" t="s">
        <v>206</v>
      </c>
      <c r="AL8" s="1" t="s">
        <v>207</v>
      </c>
      <c r="AM8" s="1" t="s">
        <v>208</v>
      </c>
      <c r="AN8" s="1" t="s">
        <v>209</v>
      </c>
      <c r="AO8" s="1" t="s">
        <v>173</v>
      </c>
      <c r="AP8" s="1" t="s">
        <v>174</v>
      </c>
      <c r="AQ8" s="1" t="s">
        <v>172</v>
      </c>
      <c r="AR8" s="1" t="s">
        <v>172</v>
      </c>
      <c r="AS8" s="1" t="s">
        <v>1558</v>
      </c>
      <c r="AT8" s="1" t="s">
        <v>1559</v>
      </c>
      <c r="AU8" s="1" t="s">
        <v>562</v>
      </c>
      <c r="AV8" s="1" t="s">
        <v>562</v>
      </c>
      <c r="AW8" s="1" t="s">
        <v>562</v>
      </c>
    </row>
    <row r="9" customFormat="false" ht="41.25" hidden="false" customHeight="true" outlineLevel="0" collapsed="false">
      <c r="A9" s="1" t="s">
        <v>402</v>
      </c>
      <c r="B9" s="1" t="s">
        <v>156</v>
      </c>
      <c r="C9" s="1" t="s">
        <v>168</v>
      </c>
      <c r="D9" s="1" t="s">
        <v>316</v>
      </c>
      <c r="E9" s="1" t="s">
        <v>403</v>
      </c>
      <c r="F9" s="1" t="s">
        <v>404</v>
      </c>
      <c r="G9" s="1" t="s">
        <v>420</v>
      </c>
      <c r="H9" s="1" t="s">
        <v>421</v>
      </c>
      <c r="I9" s="1" t="s">
        <v>422</v>
      </c>
      <c r="J9" s="1" t="s">
        <v>423</v>
      </c>
      <c r="K9" s="1" t="s">
        <v>414</v>
      </c>
      <c r="L9" s="1" t="s">
        <v>407</v>
      </c>
      <c r="M9" s="1" t="s">
        <v>234</v>
      </c>
      <c r="N9" s="1" t="s">
        <v>295</v>
      </c>
      <c r="O9" s="1" t="s">
        <v>416</v>
      </c>
      <c r="P9" s="1" t="s">
        <v>417</v>
      </c>
      <c r="Q9" s="1" t="s">
        <v>418</v>
      </c>
      <c r="R9" s="1" t="s">
        <v>419</v>
      </c>
      <c r="S9" s="1" t="s">
        <v>331</v>
      </c>
      <c r="T9" s="1" t="s">
        <v>424</v>
      </c>
      <c r="U9" s="1" t="s">
        <v>425</v>
      </c>
      <c r="V9" s="1" t="s">
        <v>426</v>
      </c>
      <c r="W9" s="1" t="s">
        <v>430</v>
      </c>
      <c r="X9" s="12" t="s">
        <v>428</v>
      </c>
      <c r="Y9" s="1" t="s">
        <v>191</v>
      </c>
      <c r="Z9" s="12" t="s">
        <v>429</v>
      </c>
      <c r="AA9" s="1" t="s">
        <v>193</v>
      </c>
      <c r="AB9" s="1" t="s">
        <v>431</v>
      </c>
      <c r="AC9" s="1" t="s">
        <v>432</v>
      </c>
      <c r="AD9" s="1" t="s">
        <v>199</v>
      </c>
      <c r="AE9" s="1" t="s">
        <v>200</v>
      </c>
      <c r="AF9" s="1" t="s">
        <v>201</v>
      </c>
      <c r="AG9" s="1" t="s">
        <v>202</v>
      </c>
      <c r="AH9" s="1" t="s">
        <v>433</v>
      </c>
      <c r="AI9" s="1" t="s">
        <v>434</v>
      </c>
      <c r="AJ9" s="1" t="s">
        <v>205</v>
      </c>
      <c r="AK9" s="1" t="s">
        <v>314</v>
      </c>
      <c r="AL9" s="1" t="s">
        <v>207</v>
      </c>
      <c r="AM9" s="1" t="s">
        <v>208</v>
      </c>
      <c r="AN9" s="1" t="s">
        <v>209</v>
      </c>
      <c r="AO9" s="1" t="s">
        <v>173</v>
      </c>
      <c r="AP9" s="1" t="s">
        <v>174</v>
      </c>
      <c r="AQ9" s="1" t="s">
        <v>172</v>
      </c>
      <c r="AR9" s="1" t="s">
        <v>172</v>
      </c>
      <c r="AS9" s="1" t="s">
        <v>1558</v>
      </c>
      <c r="AT9" s="1" t="s">
        <v>1559</v>
      </c>
      <c r="AU9" s="1" t="s">
        <v>562</v>
      </c>
      <c r="AV9" s="1" t="s">
        <v>562</v>
      </c>
      <c r="AW9" s="1" t="s">
        <v>562</v>
      </c>
    </row>
    <row r="10" customFormat="false" ht="41.25" hidden="false" customHeight="true" outlineLevel="0" collapsed="false">
      <c r="A10" s="1" t="s">
        <v>435</v>
      </c>
      <c r="B10" s="1" t="s">
        <v>156</v>
      </c>
      <c r="C10" s="1" t="s">
        <v>168</v>
      </c>
      <c r="D10" s="1" t="s">
        <v>316</v>
      </c>
      <c r="E10" s="1" t="s">
        <v>213</v>
      </c>
      <c r="F10" s="1" t="s">
        <v>404</v>
      </c>
      <c r="G10" s="1" t="s">
        <v>158</v>
      </c>
      <c r="H10" s="1" t="s">
        <v>450</v>
      </c>
      <c r="I10" s="1" t="s">
        <v>451</v>
      </c>
      <c r="J10" s="1" t="s">
        <v>452</v>
      </c>
      <c r="K10" s="1" t="s">
        <v>444</v>
      </c>
      <c r="L10" s="1" t="s">
        <v>438</v>
      </c>
      <c r="M10" s="1" t="s">
        <v>234</v>
      </c>
      <c r="N10" s="1" t="s">
        <v>446</v>
      </c>
      <c r="O10" s="1" t="s">
        <v>447</v>
      </c>
      <c r="P10" s="1" t="s">
        <v>448</v>
      </c>
      <c r="Q10" s="1" t="s">
        <v>228</v>
      </c>
      <c r="R10" s="1" t="s">
        <v>449</v>
      </c>
      <c r="S10" s="1" t="s">
        <v>331</v>
      </c>
      <c r="T10" s="1" t="s">
        <v>453</v>
      </c>
      <c r="U10" s="1" t="s">
        <v>454</v>
      </c>
      <c r="V10" s="1" t="s">
        <v>455</v>
      </c>
      <c r="W10" s="1" t="s">
        <v>459</v>
      </c>
      <c r="X10" s="12" t="s">
        <v>457</v>
      </c>
      <c r="Y10" s="1" t="s">
        <v>191</v>
      </c>
      <c r="Z10" s="12" t="s">
        <v>458</v>
      </c>
      <c r="AA10" s="1" t="s">
        <v>193</v>
      </c>
      <c r="AB10" s="1" t="s">
        <v>460</v>
      </c>
      <c r="AC10" s="1" t="s">
        <v>461</v>
      </c>
      <c r="AD10" s="1" t="s">
        <v>199</v>
      </c>
      <c r="AE10" s="1" t="s">
        <v>200</v>
      </c>
      <c r="AF10" s="1" t="s">
        <v>201</v>
      </c>
      <c r="AG10" s="1" t="s">
        <v>202</v>
      </c>
      <c r="AH10" s="1" t="s">
        <v>462</v>
      </c>
      <c r="AI10" s="1" t="s">
        <v>463</v>
      </c>
      <c r="AJ10" s="1" t="s">
        <v>205</v>
      </c>
      <c r="AK10" s="1" t="s">
        <v>464</v>
      </c>
      <c r="AL10" s="1" t="s">
        <v>207</v>
      </c>
      <c r="AM10" s="1" t="s">
        <v>208</v>
      </c>
      <c r="AN10" s="1" t="s">
        <v>209</v>
      </c>
      <c r="AO10" s="1" t="s">
        <v>173</v>
      </c>
      <c r="AP10" s="1" t="s">
        <v>174</v>
      </c>
      <c r="AQ10" s="1" t="s">
        <v>172</v>
      </c>
      <c r="AR10" s="1" t="s">
        <v>172</v>
      </c>
      <c r="AS10" s="1" t="s">
        <v>1558</v>
      </c>
      <c r="AT10" s="1" t="s">
        <v>1559</v>
      </c>
      <c r="AU10" s="1" t="s">
        <v>562</v>
      </c>
      <c r="AV10" s="1" t="s">
        <v>562</v>
      </c>
      <c r="AW10" s="1" t="s">
        <v>562</v>
      </c>
    </row>
    <row r="11" customFormat="false" ht="41.25" hidden="false" customHeight="true" outlineLevel="0" collapsed="false">
      <c r="A11" s="1" t="s">
        <v>465</v>
      </c>
      <c r="B11" s="1" t="s">
        <v>156</v>
      </c>
      <c r="C11" s="1" t="s">
        <v>168</v>
      </c>
      <c r="D11" s="1" t="s">
        <v>316</v>
      </c>
      <c r="E11" s="1" t="s">
        <v>403</v>
      </c>
      <c r="F11" s="1" t="s">
        <v>249</v>
      </c>
      <c r="G11" s="1" t="s">
        <v>466</v>
      </c>
      <c r="K11" s="1" t="s">
        <v>474</v>
      </c>
      <c r="L11" s="1" t="s">
        <v>468</v>
      </c>
      <c r="M11" s="1" t="s">
        <v>482</v>
      </c>
      <c r="N11" s="1" t="s">
        <v>476</v>
      </c>
      <c r="O11" s="1" t="s">
        <v>477</v>
      </c>
      <c r="P11" s="1" t="s">
        <v>478</v>
      </c>
      <c r="Q11" s="1" t="s">
        <v>228</v>
      </c>
      <c r="R11" s="1" t="s">
        <v>479</v>
      </c>
      <c r="S11" s="1" t="s">
        <v>180</v>
      </c>
      <c r="T11" s="1" t="s">
        <v>484</v>
      </c>
      <c r="U11" s="1" t="s">
        <v>485</v>
      </c>
      <c r="V11" s="1" t="s">
        <v>486</v>
      </c>
      <c r="W11" s="1" t="s">
        <v>490</v>
      </c>
      <c r="X11" s="12" t="s">
        <v>488</v>
      </c>
      <c r="Y11" s="1" t="s">
        <v>191</v>
      </c>
      <c r="Z11" s="12" t="s">
        <v>489</v>
      </c>
      <c r="AA11" s="1" t="s">
        <v>193</v>
      </c>
      <c r="AB11" s="1" t="s">
        <v>491</v>
      </c>
      <c r="AC11" s="1" t="s">
        <v>492</v>
      </c>
      <c r="AD11" s="1" t="s">
        <v>199</v>
      </c>
      <c r="AE11" s="1" t="s">
        <v>200</v>
      </c>
      <c r="AF11" s="1" t="s">
        <v>201</v>
      </c>
      <c r="AG11" s="1" t="s">
        <v>202</v>
      </c>
      <c r="AH11" s="1" t="s">
        <v>493</v>
      </c>
      <c r="AI11" s="1" t="s">
        <v>494</v>
      </c>
      <c r="AJ11" s="1" t="s">
        <v>205</v>
      </c>
      <c r="AK11" s="1" t="s">
        <v>314</v>
      </c>
      <c r="AL11" s="1" t="s">
        <v>207</v>
      </c>
      <c r="AM11" s="1" t="s">
        <v>208</v>
      </c>
      <c r="AN11" s="1" t="s">
        <v>209</v>
      </c>
      <c r="AO11" s="1" t="s">
        <v>173</v>
      </c>
      <c r="AP11" s="1" t="s">
        <v>174</v>
      </c>
      <c r="AQ11" s="1" t="s">
        <v>172</v>
      </c>
      <c r="AR11" s="1" t="s">
        <v>172</v>
      </c>
      <c r="AS11" s="1" t="s">
        <v>1558</v>
      </c>
      <c r="AT11" s="1" t="s">
        <v>1559</v>
      </c>
      <c r="AU11" s="1" t="s">
        <v>562</v>
      </c>
      <c r="AV11" s="1" t="s">
        <v>172</v>
      </c>
      <c r="AW11" s="1" t="s">
        <v>562</v>
      </c>
      <c r="AX11" s="1" t="s">
        <v>1560</v>
      </c>
      <c r="AY11" s="1" t="s">
        <v>1561</v>
      </c>
    </row>
    <row r="12" customFormat="false" ht="41.25" hidden="false" customHeight="true" outlineLevel="0" collapsed="false">
      <c r="A12" s="1" t="s">
        <v>495</v>
      </c>
      <c r="B12" s="1" t="s">
        <v>156</v>
      </c>
      <c r="C12" s="1" t="s">
        <v>168</v>
      </c>
      <c r="D12" s="1" t="s">
        <v>212</v>
      </c>
      <c r="E12" s="1" t="s">
        <v>348</v>
      </c>
      <c r="F12" s="1" t="s">
        <v>376</v>
      </c>
      <c r="G12" s="1" t="s">
        <v>496</v>
      </c>
      <c r="K12" s="1" t="s">
        <v>504</v>
      </c>
      <c r="L12" s="1" t="s">
        <v>498</v>
      </c>
      <c r="M12" s="1" t="s">
        <v>482</v>
      </c>
      <c r="N12" s="1" t="s">
        <v>506</v>
      </c>
      <c r="O12" s="1" t="s">
        <v>507</v>
      </c>
      <c r="P12" s="1" t="s">
        <v>508</v>
      </c>
      <c r="Q12" s="1" t="s">
        <v>509</v>
      </c>
      <c r="R12" s="1" t="s">
        <v>361</v>
      </c>
      <c r="S12" s="1" t="s">
        <v>230</v>
      </c>
      <c r="T12" s="1" t="s">
        <v>510</v>
      </c>
      <c r="U12" s="1" t="s">
        <v>511</v>
      </c>
      <c r="V12" s="1" t="s">
        <v>512</v>
      </c>
      <c r="W12" s="1" t="s">
        <v>516</v>
      </c>
      <c r="X12" s="12" t="s">
        <v>514</v>
      </c>
      <c r="Y12" s="1" t="s">
        <v>191</v>
      </c>
      <c r="Z12" s="12" t="s">
        <v>515</v>
      </c>
      <c r="AA12" s="1" t="s">
        <v>193</v>
      </c>
      <c r="AB12" s="1" t="s">
        <v>517</v>
      </c>
      <c r="AC12" s="1" t="s">
        <v>518</v>
      </c>
      <c r="AD12" s="1" t="s">
        <v>199</v>
      </c>
      <c r="AE12" s="1" t="s">
        <v>200</v>
      </c>
      <c r="AF12" s="1" t="s">
        <v>201</v>
      </c>
      <c r="AG12" s="1" t="s">
        <v>202</v>
      </c>
      <c r="AH12" s="1" t="s">
        <v>519</v>
      </c>
      <c r="AI12" s="1" t="s">
        <v>520</v>
      </c>
      <c r="AJ12" s="1" t="s">
        <v>205</v>
      </c>
      <c r="AK12" s="1" t="s">
        <v>521</v>
      </c>
      <c r="AL12" s="1" t="s">
        <v>207</v>
      </c>
      <c r="AM12" s="1" t="s">
        <v>208</v>
      </c>
      <c r="AN12" s="1" t="s">
        <v>209</v>
      </c>
      <c r="AO12" s="1" t="s">
        <v>173</v>
      </c>
      <c r="AP12" s="1" t="s">
        <v>174</v>
      </c>
      <c r="AQ12" s="1" t="s">
        <v>172</v>
      </c>
      <c r="AR12" s="1" t="s">
        <v>172</v>
      </c>
      <c r="AS12" s="1" t="s">
        <v>1558</v>
      </c>
      <c r="AT12" s="1" t="s">
        <v>1559</v>
      </c>
      <c r="AU12" s="1" t="s">
        <v>562</v>
      </c>
      <c r="AV12" s="1" t="s">
        <v>172</v>
      </c>
      <c r="AW12" s="1" t="s">
        <v>562</v>
      </c>
      <c r="AX12" s="1" t="s">
        <v>1562</v>
      </c>
      <c r="AY12" s="1" t="s">
        <v>1561</v>
      </c>
    </row>
    <row r="13" customFormat="false" ht="41.25" hidden="false" customHeight="true" outlineLevel="0" collapsed="false">
      <c r="A13" s="1" t="s">
        <v>522</v>
      </c>
      <c r="B13" s="1" t="s">
        <v>156</v>
      </c>
      <c r="C13" s="1" t="s">
        <v>168</v>
      </c>
      <c r="D13" s="1" t="s">
        <v>154</v>
      </c>
      <c r="E13" s="1" t="s">
        <v>403</v>
      </c>
      <c r="F13" s="1" t="s">
        <v>249</v>
      </c>
      <c r="G13" s="1" t="s">
        <v>523</v>
      </c>
      <c r="K13" s="1" t="s">
        <v>532</v>
      </c>
      <c r="L13" s="1" t="s">
        <v>525</v>
      </c>
      <c r="M13" s="1" t="s">
        <v>482</v>
      </c>
      <c r="N13" s="1" t="s">
        <v>534</v>
      </c>
      <c r="O13" s="1" t="s">
        <v>535</v>
      </c>
      <c r="P13" s="1" t="s">
        <v>536</v>
      </c>
      <c r="Q13" s="1" t="s">
        <v>537</v>
      </c>
      <c r="R13" s="1" t="s">
        <v>538</v>
      </c>
      <c r="S13" s="1" t="s">
        <v>331</v>
      </c>
      <c r="T13" s="1" t="s">
        <v>539</v>
      </c>
      <c r="U13" s="1" t="s">
        <v>540</v>
      </c>
      <c r="V13" s="1" t="s">
        <v>541</v>
      </c>
      <c r="W13" s="1" t="s">
        <v>545</v>
      </c>
      <c r="X13" s="12" t="s">
        <v>543</v>
      </c>
      <c r="Y13" s="1" t="s">
        <v>191</v>
      </c>
      <c r="Z13" s="12" t="s">
        <v>544</v>
      </c>
      <c r="AA13" s="1" t="s">
        <v>193</v>
      </c>
      <c r="AB13" s="1" t="s">
        <v>546</v>
      </c>
      <c r="AC13" s="1" t="s">
        <v>547</v>
      </c>
      <c r="AD13" s="1" t="s">
        <v>199</v>
      </c>
      <c r="AE13" s="1" t="s">
        <v>200</v>
      </c>
      <c r="AF13" s="1" t="s">
        <v>201</v>
      </c>
      <c r="AG13" s="1" t="s">
        <v>202</v>
      </c>
      <c r="AH13" s="1" t="s">
        <v>548</v>
      </c>
      <c r="AI13" s="1" t="s">
        <v>549</v>
      </c>
      <c r="AJ13" s="1" t="s">
        <v>205</v>
      </c>
      <c r="AK13" s="1" t="s">
        <v>550</v>
      </c>
      <c r="AL13" s="1" t="s">
        <v>207</v>
      </c>
      <c r="AM13" s="1" t="s">
        <v>208</v>
      </c>
      <c r="AN13" s="1" t="s">
        <v>209</v>
      </c>
      <c r="AO13" s="1" t="s">
        <v>173</v>
      </c>
      <c r="AP13" s="1" t="s">
        <v>174</v>
      </c>
      <c r="AQ13" s="1" t="s">
        <v>172</v>
      </c>
      <c r="AR13" s="1" t="s">
        <v>172</v>
      </c>
      <c r="AS13" s="1" t="s">
        <v>1558</v>
      </c>
      <c r="AT13" s="1" t="s">
        <v>1559</v>
      </c>
      <c r="AU13" s="1" t="s">
        <v>562</v>
      </c>
      <c r="AV13" s="1" t="s">
        <v>172</v>
      </c>
      <c r="AW13" s="1" t="s">
        <v>562</v>
      </c>
      <c r="AX13" s="1" t="s">
        <v>1563</v>
      </c>
      <c r="AY13" s="1" t="s">
        <v>1561</v>
      </c>
    </row>
    <row r="14" customFormat="false" ht="41.25" hidden="false" customHeight="true" outlineLevel="0" collapsed="false">
      <c r="A14" s="1" t="s">
        <v>551</v>
      </c>
      <c r="B14" s="1" t="s">
        <v>156</v>
      </c>
      <c r="C14" s="1" t="s">
        <v>168</v>
      </c>
      <c r="D14" s="1" t="s">
        <v>316</v>
      </c>
      <c r="E14" s="1" t="s">
        <v>348</v>
      </c>
      <c r="F14" s="1" t="s">
        <v>376</v>
      </c>
      <c r="G14" s="1" t="s">
        <v>332</v>
      </c>
      <c r="H14" s="1" t="s">
        <v>565</v>
      </c>
      <c r="I14" s="1" t="s">
        <v>566</v>
      </c>
      <c r="J14" s="1" t="s">
        <v>567</v>
      </c>
      <c r="K14" s="1" t="s">
        <v>293</v>
      </c>
      <c r="L14" s="1" t="s">
        <v>286</v>
      </c>
      <c r="M14" s="1" t="s">
        <v>184</v>
      </c>
      <c r="N14" s="1" t="s">
        <v>295</v>
      </c>
      <c r="O14" s="1" t="s">
        <v>552</v>
      </c>
      <c r="P14" s="1" t="s">
        <v>563</v>
      </c>
      <c r="Q14" s="1" t="s">
        <v>228</v>
      </c>
      <c r="R14" s="1" t="s">
        <v>564</v>
      </c>
      <c r="S14" s="1" t="s">
        <v>230</v>
      </c>
      <c r="T14" s="1" t="s">
        <v>569</v>
      </c>
      <c r="U14" s="1" t="s">
        <v>570</v>
      </c>
      <c r="V14" s="1" t="s">
        <v>571</v>
      </c>
      <c r="W14" s="1" t="s">
        <v>572</v>
      </c>
      <c r="X14" s="12" t="s">
        <v>555</v>
      </c>
      <c r="Y14" s="1" t="s">
        <v>191</v>
      </c>
      <c r="Z14" s="12" t="s">
        <v>556</v>
      </c>
      <c r="AA14" s="1" t="s">
        <v>193</v>
      </c>
      <c r="AB14" s="1" t="s">
        <v>573</v>
      </c>
      <c r="AC14" s="1" t="s">
        <v>574</v>
      </c>
      <c r="AD14" s="1" t="s">
        <v>199</v>
      </c>
      <c r="AE14" s="1" t="s">
        <v>200</v>
      </c>
      <c r="AF14" s="1" t="s">
        <v>201</v>
      </c>
      <c r="AG14" s="1" t="s">
        <v>202</v>
      </c>
      <c r="AH14" s="1" t="s">
        <v>575</v>
      </c>
      <c r="AI14" s="1" t="s">
        <v>576</v>
      </c>
      <c r="AJ14" s="1" t="s">
        <v>205</v>
      </c>
      <c r="AK14" s="1" t="s">
        <v>521</v>
      </c>
      <c r="AL14" s="1" t="s">
        <v>207</v>
      </c>
      <c r="AM14" s="1" t="s">
        <v>208</v>
      </c>
      <c r="AN14" s="1" t="s">
        <v>209</v>
      </c>
      <c r="AO14" s="1" t="s">
        <v>173</v>
      </c>
      <c r="AP14" s="1" t="s">
        <v>174</v>
      </c>
      <c r="AQ14" s="1" t="s">
        <v>562</v>
      </c>
      <c r="AR14" s="1" t="s">
        <v>172</v>
      </c>
      <c r="AS14" s="1" t="s">
        <v>1558</v>
      </c>
      <c r="AT14" s="1" t="s">
        <v>1559</v>
      </c>
      <c r="AU14" s="1" t="s">
        <v>562</v>
      </c>
      <c r="AV14" s="1" t="s">
        <v>562</v>
      </c>
      <c r="AW14" s="1" t="s">
        <v>562</v>
      </c>
    </row>
    <row r="15" customFormat="false" ht="41.25" hidden="false" customHeight="true" outlineLevel="0" collapsed="false">
      <c r="A15" s="1" t="s">
        <v>578</v>
      </c>
      <c r="B15" s="1" t="s">
        <v>156</v>
      </c>
      <c r="C15" s="1" t="s">
        <v>168</v>
      </c>
      <c r="D15" s="1" t="s">
        <v>154</v>
      </c>
      <c r="E15" s="1" t="s">
        <v>579</v>
      </c>
      <c r="F15" s="1" t="s">
        <v>214</v>
      </c>
      <c r="G15" s="1" t="s">
        <v>268</v>
      </c>
      <c r="H15" s="1" t="s">
        <v>269</v>
      </c>
      <c r="I15" s="1" t="s">
        <v>270</v>
      </c>
      <c r="J15" s="1" t="s">
        <v>271</v>
      </c>
      <c r="K15" s="1" t="s">
        <v>260</v>
      </c>
      <c r="L15" s="1" t="s">
        <v>252</v>
      </c>
      <c r="M15" s="1" t="s">
        <v>184</v>
      </c>
      <c r="N15" s="1" t="s">
        <v>263</v>
      </c>
      <c r="O15" s="1" t="s">
        <v>580</v>
      </c>
      <c r="P15" s="1" t="s">
        <v>586</v>
      </c>
      <c r="Q15" s="1" t="s">
        <v>228</v>
      </c>
      <c r="R15" s="1" t="s">
        <v>361</v>
      </c>
      <c r="S15" s="1" t="s">
        <v>230</v>
      </c>
      <c r="T15" s="1" t="s">
        <v>588</v>
      </c>
      <c r="U15" s="1" t="s">
        <v>589</v>
      </c>
      <c r="V15" s="1" t="s">
        <v>590</v>
      </c>
      <c r="W15" s="1" t="s">
        <v>591</v>
      </c>
      <c r="X15" s="12" t="s">
        <v>583</v>
      </c>
      <c r="Y15" s="1" t="s">
        <v>191</v>
      </c>
      <c r="Z15" s="12" t="s">
        <v>584</v>
      </c>
      <c r="AA15" s="1" t="s">
        <v>193</v>
      </c>
      <c r="AB15" s="1" t="s">
        <v>592</v>
      </c>
      <c r="AC15" s="1" t="s">
        <v>593</v>
      </c>
      <c r="AD15" s="1" t="s">
        <v>199</v>
      </c>
      <c r="AE15" s="1" t="s">
        <v>200</v>
      </c>
      <c r="AF15" s="1" t="s">
        <v>201</v>
      </c>
      <c r="AG15" s="1" t="s">
        <v>202</v>
      </c>
      <c r="AH15" s="1" t="s">
        <v>594</v>
      </c>
      <c r="AI15" s="1" t="s">
        <v>595</v>
      </c>
      <c r="AJ15" s="1" t="s">
        <v>205</v>
      </c>
      <c r="AK15" s="1" t="s">
        <v>314</v>
      </c>
      <c r="AL15" s="1" t="s">
        <v>207</v>
      </c>
      <c r="AM15" s="1" t="s">
        <v>208</v>
      </c>
      <c r="AN15" s="1" t="s">
        <v>209</v>
      </c>
      <c r="AO15" s="1" t="s">
        <v>173</v>
      </c>
      <c r="AP15" s="1" t="s">
        <v>174</v>
      </c>
      <c r="AQ15" s="1" t="s">
        <v>562</v>
      </c>
      <c r="AR15" s="1" t="s">
        <v>172</v>
      </c>
      <c r="AS15" s="1" t="s">
        <v>1558</v>
      </c>
      <c r="AT15" s="1" t="s">
        <v>1559</v>
      </c>
      <c r="AU15" s="1" t="s">
        <v>562</v>
      </c>
      <c r="AV15" s="1" t="s">
        <v>562</v>
      </c>
      <c r="AW15" s="1" t="s">
        <v>562</v>
      </c>
    </row>
    <row r="16" customFormat="false" ht="41.25" hidden="false" customHeight="true" outlineLevel="0" collapsed="false">
      <c r="A16" s="1" t="s">
        <v>596</v>
      </c>
      <c r="B16" s="1" t="s">
        <v>156</v>
      </c>
      <c r="C16" s="1" t="s">
        <v>168</v>
      </c>
      <c r="D16" s="1" t="s">
        <v>316</v>
      </c>
      <c r="E16" s="1" t="s">
        <v>155</v>
      </c>
      <c r="F16" s="1" t="s">
        <v>214</v>
      </c>
      <c r="G16" s="1" t="s">
        <v>332</v>
      </c>
      <c r="H16" s="1" t="s">
        <v>607</v>
      </c>
      <c r="I16" s="1" t="s">
        <v>608</v>
      </c>
      <c r="J16" s="1" t="s">
        <v>609</v>
      </c>
      <c r="K16" s="1" t="s">
        <v>260</v>
      </c>
      <c r="L16" s="1" t="s">
        <v>252</v>
      </c>
      <c r="M16" s="1" t="s">
        <v>184</v>
      </c>
      <c r="N16" s="1" t="s">
        <v>603</v>
      </c>
      <c r="O16" s="1" t="s">
        <v>597</v>
      </c>
      <c r="P16" s="1" t="s">
        <v>604</v>
      </c>
      <c r="Q16" s="1" t="s">
        <v>605</v>
      </c>
      <c r="R16" s="1" t="s">
        <v>606</v>
      </c>
      <c r="S16" s="1" t="s">
        <v>180</v>
      </c>
      <c r="T16" s="1" t="s">
        <v>611</v>
      </c>
      <c r="U16" s="1" t="s">
        <v>612</v>
      </c>
      <c r="V16" s="1" t="s">
        <v>613</v>
      </c>
      <c r="W16" s="1" t="s">
        <v>614</v>
      </c>
      <c r="X16" s="12" t="s">
        <v>600</v>
      </c>
      <c r="Y16" s="1" t="s">
        <v>191</v>
      </c>
      <c r="Z16" s="12" t="s">
        <v>601</v>
      </c>
      <c r="AA16" s="1" t="s">
        <v>193</v>
      </c>
      <c r="AB16" s="1" t="s">
        <v>615</v>
      </c>
      <c r="AC16" s="1" t="s">
        <v>616</v>
      </c>
      <c r="AD16" s="1" t="s">
        <v>199</v>
      </c>
      <c r="AE16" s="1" t="s">
        <v>200</v>
      </c>
      <c r="AF16" s="1" t="s">
        <v>201</v>
      </c>
      <c r="AG16" s="1" t="s">
        <v>202</v>
      </c>
      <c r="AH16" s="1" t="s">
        <v>617</v>
      </c>
      <c r="AI16" s="1" t="s">
        <v>618</v>
      </c>
      <c r="AJ16" s="1" t="s">
        <v>205</v>
      </c>
      <c r="AK16" s="1" t="s">
        <v>619</v>
      </c>
      <c r="AL16" s="1" t="s">
        <v>207</v>
      </c>
      <c r="AM16" s="1" t="s">
        <v>208</v>
      </c>
      <c r="AN16" s="1" t="s">
        <v>209</v>
      </c>
      <c r="AO16" s="1" t="s">
        <v>173</v>
      </c>
      <c r="AP16" s="1" t="s">
        <v>174</v>
      </c>
      <c r="AQ16" s="1" t="s">
        <v>562</v>
      </c>
      <c r="AR16" s="1" t="s">
        <v>172</v>
      </c>
      <c r="AS16" s="1" t="s">
        <v>1558</v>
      </c>
      <c r="AT16" s="1" t="s">
        <v>1559</v>
      </c>
      <c r="AU16" s="1" t="s">
        <v>562</v>
      </c>
      <c r="AV16" s="1" t="s">
        <v>562</v>
      </c>
      <c r="AW16" s="1" t="s">
        <v>562</v>
      </c>
    </row>
    <row r="17" customFormat="false" ht="41.25" hidden="false" customHeight="true" outlineLevel="0" collapsed="false">
      <c r="A17" s="1" t="s">
        <v>620</v>
      </c>
      <c r="B17" s="1" t="s">
        <v>156</v>
      </c>
      <c r="C17" s="1" t="s">
        <v>168</v>
      </c>
      <c r="D17" s="1" t="s">
        <v>316</v>
      </c>
      <c r="E17" s="1" t="s">
        <v>213</v>
      </c>
      <c r="F17" s="1" t="s">
        <v>249</v>
      </c>
      <c r="G17" s="1" t="s">
        <v>420</v>
      </c>
      <c r="H17" s="1" t="s">
        <v>421</v>
      </c>
      <c r="I17" s="1" t="s">
        <v>422</v>
      </c>
      <c r="J17" s="1" t="s">
        <v>423</v>
      </c>
      <c r="K17" s="1" t="s">
        <v>293</v>
      </c>
      <c r="L17" s="1" t="s">
        <v>286</v>
      </c>
      <c r="M17" s="1" t="s">
        <v>184</v>
      </c>
      <c r="N17" s="1" t="s">
        <v>295</v>
      </c>
      <c r="O17" s="1" t="s">
        <v>621</v>
      </c>
      <c r="P17" s="1" t="s">
        <v>627</v>
      </c>
      <c r="Q17" s="1" t="s">
        <v>228</v>
      </c>
      <c r="R17" s="1" t="s">
        <v>479</v>
      </c>
      <c r="S17" s="1" t="s">
        <v>230</v>
      </c>
      <c r="T17" s="1" t="s">
        <v>629</v>
      </c>
      <c r="U17" s="1" t="s">
        <v>630</v>
      </c>
      <c r="V17" s="1" t="s">
        <v>631</v>
      </c>
      <c r="W17" s="1" t="s">
        <v>632</v>
      </c>
      <c r="X17" s="12" t="s">
        <v>624</v>
      </c>
      <c r="Y17" s="1" t="s">
        <v>191</v>
      </c>
      <c r="Z17" s="12" t="s">
        <v>625</v>
      </c>
      <c r="AA17" s="1" t="s">
        <v>193</v>
      </c>
      <c r="AB17" s="1" t="s">
        <v>633</v>
      </c>
      <c r="AC17" s="1" t="s">
        <v>634</v>
      </c>
      <c r="AD17" s="1" t="s">
        <v>199</v>
      </c>
      <c r="AE17" s="1" t="s">
        <v>200</v>
      </c>
      <c r="AF17" s="1" t="s">
        <v>201</v>
      </c>
      <c r="AG17" s="1" t="s">
        <v>202</v>
      </c>
      <c r="AH17" s="1" t="s">
        <v>635</v>
      </c>
      <c r="AI17" s="1" t="s">
        <v>636</v>
      </c>
      <c r="AJ17" s="1" t="s">
        <v>205</v>
      </c>
      <c r="AK17" s="1" t="s">
        <v>247</v>
      </c>
      <c r="AL17" s="1" t="s">
        <v>207</v>
      </c>
      <c r="AM17" s="1" t="s">
        <v>208</v>
      </c>
      <c r="AN17" s="1" t="s">
        <v>209</v>
      </c>
      <c r="AO17" s="1" t="s">
        <v>173</v>
      </c>
      <c r="AP17" s="1" t="s">
        <v>174</v>
      </c>
      <c r="AQ17" s="1" t="s">
        <v>562</v>
      </c>
      <c r="AR17" s="1" t="s">
        <v>172</v>
      </c>
      <c r="AS17" s="1" t="s">
        <v>1558</v>
      </c>
      <c r="AT17" s="1" t="s">
        <v>1559</v>
      </c>
      <c r="AU17" s="1" t="s">
        <v>562</v>
      </c>
      <c r="AV17" s="1" t="s">
        <v>562</v>
      </c>
      <c r="AW17" s="1" t="s">
        <v>562</v>
      </c>
    </row>
    <row r="18" customFormat="false" ht="41.25" hidden="false" customHeight="true" outlineLevel="0" collapsed="false">
      <c r="A18" s="1" t="s">
        <v>637</v>
      </c>
      <c r="B18" s="1" t="s">
        <v>156</v>
      </c>
      <c r="C18" s="1" t="s">
        <v>168</v>
      </c>
      <c r="D18" s="1" t="s">
        <v>212</v>
      </c>
      <c r="E18" s="1" t="s">
        <v>403</v>
      </c>
      <c r="F18" s="1" t="s">
        <v>404</v>
      </c>
      <c r="G18" s="1" t="s">
        <v>638</v>
      </c>
      <c r="H18" s="1" t="s">
        <v>649</v>
      </c>
      <c r="I18" s="1" t="s">
        <v>650</v>
      </c>
      <c r="J18" s="1" t="s">
        <v>651</v>
      </c>
      <c r="K18" s="1" t="s">
        <v>414</v>
      </c>
      <c r="L18" s="1" t="s">
        <v>407</v>
      </c>
      <c r="M18" s="1" t="s">
        <v>184</v>
      </c>
      <c r="N18" s="1" t="s">
        <v>645</v>
      </c>
      <c r="O18" s="1" t="s">
        <v>639</v>
      </c>
      <c r="P18" s="1" t="s">
        <v>646</v>
      </c>
      <c r="Q18" s="1" t="s">
        <v>418</v>
      </c>
      <c r="R18" s="1" t="s">
        <v>647</v>
      </c>
      <c r="S18" s="1" t="s">
        <v>648</v>
      </c>
      <c r="T18" s="1" t="s">
        <v>653</v>
      </c>
      <c r="U18" s="1" t="s">
        <v>654</v>
      </c>
      <c r="V18" s="1" t="s">
        <v>655</v>
      </c>
      <c r="W18" s="1" t="s">
        <v>656</v>
      </c>
      <c r="X18" s="12" t="s">
        <v>642</v>
      </c>
      <c r="Y18" s="1" t="s">
        <v>191</v>
      </c>
      <c r="Z18" s="12" t="s">
        <v>643</v>
      </c>
      <c r="AA18" s="1" t="s">
        <v>193</v>
      </c>
      <c r="AB18" s="1" t="s">
        <v>657</v>
      </c>
      <c r="AC18" s="1" t="s">
        <v>658</v>
      </c>
      <c r="AD18" s="1" t="s">
        <v>199</v>
      </c>
      <c r="AE18" s="1" t="s">
        <v>200</v>
      </c>
      <c r="AF18" s="1" t="s">
        <v>201</v>
      </c>
      <c r="AG18" s="1" t="s">
        <v>202</v>
      </c>
      <c r="AH18" s="1" t="s">
        <v>659</v>
      </c>
      <c r="AI18" s="1" t="s">
        <v>660</v>
      </c>
      <c r="AJ18" s="1" t="s">
        <v>205</v>
      </c>
      <c r="AK18" s="1" t="s">
        <v>314</v>
      </c>
      <c r="AL18" s="1" t="s">
        <v>207</v>
      </c>
      <c r="AM18" s="1" t="s">
        <v>208</v>
      </c>
      <c r="AN18" s="1" t="s">
        <v>209</v>
      </c>
      <c r="AO18" s="1" t="s">
        <v>173</v>
      </c>
      <c r="AP18" s="1" t="s">
        <v>174</v>
      </c>
      <c r="AQ18" s="1" t="s">
        <v>562</v>
      </c>
      <c r="AR18" s="1" t="s">
        <v>172</v>
      </c>
      <c r="AS18" s="1" t="s">
        <v>1558</v>
      </c>
      <c r="AT18" s="1" t="s">
        <v>1559</v>
      </c>
      <c r="AU18" s="1" t="s">
        <v>562</v>
      </c>
      <c r="AV18" s="1" t="s">
        <v>562</v>
      </c>
      <c r="AW18" s="1" t="s">
        <v>562</v>
      </c>
    </row>
    <row r="19" customFormat="false" ht="41.25" hidden="false" customHeight="true" outlineLevel="0" collapsed="false">
      <c r="A19" s="1" t="s">
        <v>661</v>
      </c>
      <c r="B19" s="1" t="s">
        <v>663</v>
      </c>
      <c r="C19" s="1" t="s">
        <v>674</v>
      </c>
      <c r="D19" s="1" t="s">
        <v>212</v>
      </c>
      <c r="E19" s="1" t="s">
        <v>662</v>
      </c>
      <c r="F19" s="1" t="s">
        <v>664</v>
      </c>
      <c r="G19" s="1" t="s">
        <v>681</v>
      </c>
      <c r="H19" s="1" t="s">
        <v>682</v>
      </c>
      <c r="I19" s="1" t="s">
        <v>683</v>
      </c>
      <c r="J19" s="1" t="s">
        <v>667</v>
      </c>
      <c r="K19" s="1" t="s">
        <v>684</v>
      </c>
      <c r="L19" s="1" t="s">
        <v>685</v>
      </c>
      <c r="M19" s="1" t="s">
        <v>234</v>
      </c>
      <c r="N19" s="1" t="s">
        <v>676</v>
      </c>
      <c r="O19" s="1" t="s">
        <v>677</v>
      </c>
      <c r="P19" s="1" t="s">
        <v>678</v>
      </c>
      <c r="Q19" s="1" t="s">
        <v>679</v>
      </c>
      <c r="R19" s="1" t="s">
        <v>680</v>
      </c>
      <c r="S19" s="1" t="s">
        <v>331</v>
      </c>
      <c r="T19" s="1" t="s">
        <v>686</v>
      </c>
      <c r="U19" s="1" t="s">
        <v>687</v>
      </c>
      <c r="V19" s="1" t="s">
        <v>688</v>
      </c>
      <c r="W19" s="1" t="s">
        <v>693</v>
      </c>
      <c r="X19" s="12" t="s">
        <v>690</v>
      </c>
      <c r="Y19" s="1" t="s">
        <v>691</v>
      </c>
      <c r="Z19" s="12" t="s">
        <v>692</v>
      </c>
      <c r="AA19" s="1" t="s">
        <v>193</v>
      </c>
      <c r="AB19" s="1" t="s">
        <v>694</v>
      </c>
      <c r="AC19" s="1" t="s">
        <v>695</v>
      </c>
      <c r="AD19" s="1" t="s">
        <v>199</v>
      </c>
      <c r="AE19" s="1" t="s">
        <v>200</v>
      </c>
      <c r="AF19" s="1" t="s">
        <v>201</v>
      </c>
      <c r="AG19" s="1" t="s">
        <v>202</v>
      </c>
      <c r="AH19" s="1" t="s">
        <v>696</v>
      </c>
      <c r="AI19" s="1" t="s">
        <v>697</v>
      </c>
      <c r="AJ19" s="1" t="s">
        <v>205</v>
      </c>
      <c r="AK19" s="1" t="s">
        <v>698</v>
      </c>
      <c r="AL19" s="1" t="s">
        <v>207</v>
      </c>
      <c r="AM19" s="1" t="s">
        <v>208</v>
      </c>
      <c r="AN19" s="1" t="s">
        <v>209</v>
      </c>
      <c r="AO19" s="1" t="s">
        <v>173</v>
      </c>
      <c r="AP19" s="1" t="s">
        <v>174</v>
      </c>
      <c r="AQ19" s="1" t="s">
        <v>172</v>
      </c>
      <c r="AR19" s="1" t="s">
        <v>172</v>
      </c>
      <c r="AS19" s="1" t="s">
        <v>1558</v>
      </c>
      <c r="AT19" s="1" t="s">
        <v>1559</v>
      </c>
      <c r="AU19" s="1" t="s">
        <v>562</v>
      </c>
      <c r="AV19" s="1" t="s">
        <v>562</v>
      </c>
      <c r="AW19" s="1" t="s">
        <v>562</v>
      </c>
    </row>
    <row r="20" customFormat="false" ht="41.25" hidden="false" customHeight="true" outlineLevel="0" collapsed="false">
      <c r="A20" s="1" t="s">
        <v>699</v>
      </c>
      <c r="B20" s="1" t="s">
        <v>663</v>
      </c>
      <c r="C20" s="1" t="s">
        <v>674</v>
      </c>
      <c r="D20" s="1" t="s">
        <v>212</v>
      </c>
      <c r="E20" s="1" t="s">
        <v>700</v>
      </c>
      <c r="F20" s="1" t="s">
        <v>701</v>
      </c>
      <c r="G20" s="1" t="s">
        <v>158</v>
      </c>
      <c r="H20" s="1" t="s">
        <v>714</v>
      </c>
      <c r="I20" s="1" t="s">
        <v>715</v>
      </c>
      <c r="J20" s="1" t="s">
        <v>703</v>
      </c>
      <c r="K20" s="1" t="s">
        <v>709</v>
      </c>
      <c r="L20" s="1" t="s">
        <v>716</v>
      </c>
      <c r="M20" s="1" t="s">
        <v>234</v>
      </c>
      <c r="N20" s="1" t="s">
        <v>710</v>
      </c>
      <c r="O20" s="1" t="s">
        <v>711</v>
      </c>
      <c r="P20" s="1" t="s">
        <v>712</v>
      </c>
      <c r="Q20" s="1" t="s">
        <v>228</v>
      </c>
      <c r="R20" s="1" t="s">
        <v>713</v>
      </c>
      <c r="S20" s="1" t="s">
        <v>180</v>
      </c>
      <c r="T20" s="1" t="s">
        <v>717</v>
      </c>
      <c r="U20" s="1" t="s">
        <v>718</v>
      </c>
      <c r="V20" s="1" t="s">
        <v>719</v>
      </c>
      <c r="W20" s="1" t="s">
        <v>723</v>
      </c>
      <c r="X20" s="12" t="s">
        <v>721</v>
      </c>
      <c r="Y20" s="1" t="s">
        <v>691</v>
      </c>
      <c r="Z20" s="12" t="s">
        <v>722</v>
      </c>
      <c r="AA20" s="1" t="s">
        <v>193</v>
      </c>
      <c r="AB20" s="1" t="s">
        <v>724</v>
      </c>
      <c r="AC20" s="1" t="s">
        <v>725</v>
      </c>
      <c r="AD20" s="1" t="s">
        <v>199</v>
      </c>
      <c r="AE20" s="1" t="s">
        <v>200</v>
      </c>
      <c r="AF20" s="1" t="s">
        <v>201</v>
      </c>
      <c r="AG20" s="1" t="s">
        <v>202</v>
      </c>
      <c r="AH20" s="1" t="s">
        <v>726</v>
      </c>
      <c r="AI20" s="1" t="s">
        <v>727</v>
      </c>
      <c r="AJ20" s="1" t="s">
        <v>205</v>
      </c>
      <c r="AK20" s="1" t="s">
        <v>728</v>
      </c>
      <c r="AL20" s="1" t="s">
        <v>207</v>
      </c>
      <c r="AM20" s="1" t="s">
        <v>208</v>
      </c>
      <c r="AN20" s="1" t="s">
        <v>209</v>
      </c>
      <c r="AO20" s="1" t="s">
        <v>173</v>
      </c>
      <c r="AP20" s="1" t="s">
        <v>174</v>
      </c>
      <c r="AQ20" s="1" t="s">
        <v>172</v>
      </c>
      <c r="AR20" s="1" t="s">
        <v>172</v>
      </c>
      <c r="AS20" s="1" t="s">
        <v>1558</v>
      </c>
      <c r="AT20" s="1" t="s">
        <v>1559</v>
      </c>
      <c r="AU20" s="1" t="s">
        <v>562</v>
      </c>
      <c r="AV20" s="1" t="s">
        <v>562</v>
      </c>
      <c r="AW20" s="1" t="s">
        <v>562</v>
      </c>
    </row>
    <row r="21" customFormat="false" ht="41.25" hidden="false" customHeight="true" outlineLevel="0" collapsed="false">
      <c r="A21" s="1" t="s">
        <v>729</v>
      </c>
      <c r="B21" s="1" t="s">
        <v>663</v>
      </c>
      <c r="C21" s="1" t="s">
        <v>674</v>
      </c>
      <c r="D21" s="1" t="s">
        <v>316</v>
      </c>
      <c r="E21" s="1" t="s">
        <v>730</v>
      </c>
      <c r="F21" s="1" t="s">
        <v>731</v>
      </c>
      <c r="G21" s="1" t="s">
        <v>745</v>
      </c>
      <c r="H21" s="1" t="s">
        <v>746</v>
      </c>
      <c r="I21" s="1" t="s">
        <v>747</v>
      </c>
      <c r="J21" s="1" t="s">
        <v>748</v>
      </c>
      <c r="K21" s="1" t="s">
        <v>741</v>
      </c>
      <c r="L21" s="1" t="s">
        <v>734</v>
      </c>
      <c r="M21" s="1" t="s">
        <v>234</v>
      </c>
      <c r="N21" s="1" t="s">
        <v>387</v>
      </c>
      <c r="O21" s="1" t="s">
        <v>743</v>
      </c>
      <c r="P21" s="1" t="s">
        <v>744</v>
      </c>
      <c r="Q21" s="1" t="s">
        <v>228</v>
      </c>
      <c r="R21" s="1" t="s">
        <v>390</v>
      </c>
      <c r="S21" s="1" t="s">
        <v>180</v>
      </c>
      <c r="T21" s="1" t="s">
        <v>749</v>
      </c>
      <c r="U21" s="1" t="s">
        <v>750</v>
      </c>
      <c r="V21" s="1" t="s">
        <v>751</v>
      </c>
      <c r="W21" s="1" t="s">
        <v>755</v>
      </c>
      <c r="X21" s="12" t="s">
        <v>753</v>
      </c>
      <c r="Y21" s="1" t="s">
        <v>691</v>
      </c>
      <c r="Z21" s="12" t="s">
        <v>754</v>
      </c>
      <c r="AA21" s="1" t="s">
        <v>193</v>
      </c>
      <c r="AB21" s="1" t="s">
        <v>756</v>
      </c>
      <c r="AC21" s="1" t="s">
        <v>757</v>
      </c>
      <c r="AD21" s="1" t="s">
        <v>199</v>
      </c>
      <c r="AE21" s="1" t="s">
        <v>200</v>
      </c>
      <c r="AF21" s="1" t="s">
        <v>201</v>
      </c>
      <c r="AG21" s="1" t="s">
        <v>202</v>
      </c>
      <c r="AH21" s="1" t="s">
        <v>758</v>
      </c>
      <c r="AI21" s="1" t="s">
        <v>759</v>
      </c>
      <c r="AJ21" s="1" t="s">
        <v>205</v>
      </c>
      <c r="AK21" s="1" t="s">
        <v>698</v>
      </c>
      <c r="AL21" s="1" t="s">
        <v>207</v>
      </c>
      <c r="AM21" s="1" t="s">
        <v>208</v>
      </c>
      <c r="AN21" s="1" t="s">
        <v>209</v>
      </c>
      <c r="AO21" s="1" t="s">
        <v>173</v>
      </c>
      <c r="AP21" s="1" t="s">
        <v>174</v>
      </c>
      <c r="AQ21" s="1" t="s">
        <v>172</v>
      </c>
      <c r="AR21" s="1" t="s">
        <v>172</v>
      </c>
      <c r="AS21" s="1" t="s">
        <v>1558</v>
      </c>
      <c r="AT21" s="1" t="s">
        <v>1559</v>
      </c>
      <c r="AU21" s="1" t="s">
        <v>562</v>
      </c>
      <c r="AV21" s="1" t="s">
        <v>562</v>
      </c>
      <c r="AW21" s="1" t="s">
        <v>562</v>
      </c>
    </row>
    <row r="22" customFormat="false" ht="41.25" hidden="false" customHeight="true" outlineLevel="0" collapsed="false">
      <c r="A22" s="1" t="s">
        <v>760</v>
      </c>
      <c r="B22" s="1" t="s">
        <v>663</v>
      </c>
      <c r="C22" s="1" t="s">
        <v>674</v>
      </c>
      <c r="D22" s="1" t="s">
        <v>316</v>
      </c>
      <c r="E22" s="1" t="s">
        <v>761</v>
      </c>
      <c r="F22" s="1" t="s">
        <v>762</v>
      </c>
      <c r="G22" s="1" t="s">
        <v>763</v>
      </c>
      <c r="K22" s="1" t="s">
        <v>772</v>
      </c>
      <c r="L22" s="1" t="s">
        <v>765</v>
      </c>
      <c r="M22" s="1" t="s">
        <v>482</v>
      </c>
      <c r="N22" s="1" t="s">
        <v>774</v>
      </c>
      <c r="O22" s="1" t="s">
        <v>775</v>
      </c>
      <c r="P22" s="1" t="s">
        <v>776</v>
      </c>
      <c r="Q22" s="1" t="s">
        <v>777</v>
      </c>
      <c r="R22" s="1" t="s">
        <v>778</v>
      </c>
      <c r="S22" s="1" t="s">
        <v>230</v>
      </c>
      <c r="T22" s="1" t="s">
        <v>779</v>
      </c>
      <c r="U22" s="1" t="s">
        <v>780</v>
      </c>
      <c r="V22" s="1" t="s">
        <v>781</v>
      </c>
      <c r="W22" s="1" t="s">
        <v>785</v>
      </c>
      <c r="X22" s="12" t="s">
        <v>783</v>
      </c>
      <c r="Y22" s="1" t="s">
        <v>691</v>
      </c>
      <c r="Z22" s="12" t="s">
        <v>784</v>
      </c>
      <c r="AA22" s="1" t="s">
        <v>193</v>
      </c>
      <c r="AB22" s="1" t="s">
        <v>786</v>
      </c>
      <c r="AC22" s="1" t="s">
        <v>787</v>
      </c>
      <c r="AD22" s="1" t="s">
        <v>199</v>
      </c>
      <c r="AE22" s="1" t="s">
        <v>200</v>
      </c>
      <c r="AF22" s="1" t="s">
        <v>201</v>
      </c>
      <c r="AG22" s="1" t="s">
        <v>202</v>
      </c>
      <c r="AH22" s="1" t="s">
        <v>788</v>
      </c>
      <c r="AI22" s="1" t="s">
        <v>789</v>
      </c>
      <c r="AJ22" s="1" t="s">
        <v>205</v>
      </c>
      <c r="AK22" s="1" t="s">
        <v>698</v>
      </c>
      <c r="AL22" s="1" t="s">
        <v>207</v>
      </c>
      <c r="AM22" s="1" t="s">
        <v>208</v>
      </c>
      <c r="AN22" s="1" t="s">
        <v>209</v>
      </c>
      <c r="AO22" s="1" t="s">
        <v>173</v>
      </c>
      <c r="AP22" s="1" t="s">
        <v>174</v>
      </c>
      <c r="AQ22" s="1" t="s">
        <v>172</v>
      </c>
      <c r="AR22" s="1" t="s">
        <v>172</v>
      </c>
      <c r="AS22" s="1" t="s">
        <v>1558</v>
      </c>
      <c r="AT22" s="1" t="s">
        <v>1559</v>
      </c>
      <c r="AU22" s="1" t="s">
        <v>562</v>
      </c>
      <c r="AV22" s="1" t="s">
        <v>172</v>
      </c>
      <c r="AW22" s="1" t="s">
        <v>562</v>
      </c>
      <c r="AX22" s="1" t="s">
        <v>1564</v>
      </c>
      <c r="AY22" s="1" t="s">
        <v>1561</v>
      </c>
    </row>
    <row r="23" customFormat="false" ht="41.25" hidden="false" customHeight="true" outlineLevel="0" collapsed="false">
      <c r="A23" s="1" t="s">
        <v>790</v>
      </c>
      <c r="B23" s="1" t="s">
        <v>663</v>
      </c>
      <c r="C23" s="1" t="s">
        <v>674</v>
      </c>
      <c r="D23" s="1" t="s">
        <v>154</v>
      </c>
      <c r="E23" s="1" t="s">
        <v>730</v>
      </c>
      <c r="F23" s="1" t="s">
        <v>664</v>
      </c>
      <c r="G23" s="1" t="s">
        <v>803</v>
      </c>
      <c r="H23" s="1" t="s">
        <v>804</v>
      </c>
      <c r="I23" s="1" t="s">
        <v>805</v>
      </c>
      <c r="J23" s="1" t="s">
        <v>806</v>
      </c>
      <c r="K23" s="1" t="s">
        <v>799</v>
      </c>
      <c r="L23" s="1" t="s">
        <v>793</v>
      </c>
      <c r="M23" s="1" t="s">
        <v>234</v>
      </c>
      <c r="N23" s="1" t="s">
        <v>603</v>
      </c>
      <c r="O23" s="1" t="s">
        <v>801</v>
      </c>
      <c r="P23" s="1" t="s">
        <v>802</v>
      </c>
      <c r="Q23" s="1" t="s">
        <v>228</v>
      </c>
      <c r="R23" s="1" t="s">
        <v>361</v>
      </c>
      <c r="S23" s="1" t="s">
        <v>230</v>
      </c>
      <c r="T23" s="1" t="s">
        <v>807</v>
      </c>
      <c r="U23" s="1" t="s">
        <v>808</v>
      </c>
      <c r="V23" s="1" t="s">
        <v>809</v>
      </c>
      <c r="W23" s="1" t="s">
        <v>813</v>
      </c>
      <c r="X23" s="12" t="s">
        <v>811</v>
      </c>
      <c r="Y23" s="1" t="s">
        <v>691</v>
      </c>
      <c r="Z23" s="12" t="s">
        <v>812</v>
      </c>
      <c r="AA23" s="1" t="s">
        <v>193</v>
      </c>
      <c r="AB23" s="1" t="s">
        <v>814</v>
      </c>
      <c r="AC23" s="1" t="s">
        <v>815</v>
      </c>
      <c r="AD23" s="1" t="s">
        <v>199</v>
      </c>
      <c r="AE23" s="1" t="s">
        <v>200</v>
      </c>
      <c r="AF23" s="1" t="s">
        <v>201</v>
      </c>
      <c r="AG23" s="1" t="s">
        <v>202</v>
      </c>
      <c r="AH23" s="1" t="s">
        <v>816</v>
      </c>
      <c r="AI23" s="1" t="s">
        <v>817</v>
      </c>
      <c r="AJ23" s="1" t="s">
        <v>205</v>
      </c>
      <c r="AK23" s="1" t="s">
        <v>818</v>
      </c>
      <c r="AL23" s="1" t="s">
        <v>207</v>
      </c>
      <c r="AM23" s="1" t="s">
        <v>208</v>
      </c>
      <c r="AN23" s="1" t="s">
        <v>209</v>
      </c>
      <c r="AO23" s="1" t="s">
        <v>173</v>
      </c>
      <c r="AP23" s="1" t="s">
        <v>174</v>
      </c>
      <c r="AQ23" s="1" t="s">
        <v>172</v>
      </c>
      <c r="AR23" s="1" t="s">
        <v>172</v>
      </c>
      <c r="AS23" s="1" t="s">
        <v>1558</v>
      </c>
      <c r="AT23" s="1" t="s">
        <v>1559</v>
      </c>
      <c r="AU23" s="1" t="s">
        <v>562</v>
      </c>
      <c r="AV23" s="1" t="s">
        <v>562</v>
      </c>
      <c r="AW23" s="1" t="s">
        <v>562</v>
      </c>
    </row>
    <row r="24" customFormat="false" ht="41.25" hidden="false" customHeight="true" outlineLevel="0" collapsed="false">
      <c r="A24" s="1" t="s">
        <v>819</v>
      </c>
      <c r="B24" s="1" t="s">
        <v>663</v>
      </c>
      <c r="C24" s="1" t="s">
        <v>674</v>
      </c>
      <c r="D24" s="1" t="s">
        <v>212</v>
      </c>
      <c r="E24" s="1" t="s">
        <v>700</v>
      </c>
      <c r="F24" s="1" t="s">
        <v>664</v>
      </c>
      <c r="G24" s="1" t="s">
        <v>158</v>
      </c>
      <c r="H24" s="1" t="s">
        <v>714</v>
      </c>
      <c r="I24" s="1" t="s">
        <v>715</v>
      </c>
      <c r="J24" s="1" t="s">
        <v>703</v>
      </c>
      <c r="K24" s="1" t="s">
        <v>709</v>
      </c>
      <c r="L24" s="1" t="s">
        <v>716</v>
      </c>
      <c r="M24" s="1" t="s">
        <v>234</v>
      </c>
      <c r="N24" s="1" t="s">
        <v>710</v>
      </c>
      <c r="O24" s="1" t="s">
        <v>828</v>
      </c>
      <c r="P24" s="1" t="s">
        <v>829</v>
      </c>
      <c r="Q24" s="1" t="s">
        <v>228</v>
      </c>
      <c r="R24" s="1" t="s">
        <v>361</v>
      </c>
      <c r="S24" s="1" t="s">
        <v>180</v>
      </c>
      <c r="T24" s="1" t="s">
        <v>830</v>
      </c>
      <c r="U24" s="1" t="s">
        <v>831</v>
      </c>
      <c r="V24" s="1" t="s">
        <v>832</v>
      </c>
      <c r="W24" s="1" t="s">
        <v>836</v>
      </c>
      <c r="X24" s="12" t="s">
        <v>834</v>
      </c>
      <c r="Y24" s="1" t="s">
        <v>691</v>
      </c>
      <c r="Z24" s="12" t="s">
        <v>835</v>
      </c>
      <c r="AA24" s="1" t="s">
        <v>193</v>
      </c>
      <c r="AB24" s="1" t="s">
        <v>837</v>
      </c>
      <c r="AC24" s="1" t="s">
        <v>838</v>
      </c>
      <c r="AD24" s="1" t="s">
        <v>199</v>
      </c>
      <c r="AE24" s="1" t="s">
        <v>200</v>
      </c>
      <c r="AF24" s="1" t="s">
        <v>201</v>
      </c>
      <c r="AG24" s="1" t="s">
        <v>202</v>
      </c>
      <c r="AH24" s="1" t="s">
        <v>839</v>
      </c>
      <c r="AI24" s="1" t="s">
        <v>840</v>
      </c>
      <c r="AJ24" s="1" t="s">
        <v>205</v>
      </c>
      <c r="AK24" s="1" t="s">
        <v>728</v>
      </c>
      <c r="AL24" s="1" t="s">
        <v>207</v>
      </c>
      <c r="AM24" s="1" t="s">
        <v>208</v>
      </c>
      <c r="AN24" s="1" t="s">
        <v>209</v>
      </c>
      <c r="AO24" s="1" t="s">
        <v>173</v>
      </c>
      <c r="AP24" s="1" t="s">
        <v>174</v>
      </c>
      <c r="AQ24" s="1" t="s">
        <v>172</v>
      </c>
      <c r="AR24" s="1" t="s">
        <v>172</v>
      </c>
      <c r="AS24" s="1" t="s">
        <v>1558</v>
      </c>
      <c r="AT24" s="1" t="s">
        <v>1559</v>
      </c>
      <c r="AU24" s="1" t="s">
        <v>562</v>
      </c>
      <c r="AV24" s="1" t="s">
        <v>562</v>
      </c>
      <c r="AW24" s="1" t="s">
        <v>562</v>
      </c>
    </row>
    <row r="25" customFormat="false" ht="41.25" hidden="false" customHeight="true" outlineLevel="0" collapsed="false">
      <c r="A25" s="1" t="s">
        <v>841</v>
      </c>
      <c r="B25" s="1" t="s">
        <v>663</v>
      </c>
      <c r="C25" s="1" t="s">
        <v>674</v>
      </c>
      <c r="D25" s="1" t="s">
        <v>212</v>
      </c>
      <c r="E25" s="1" t="s">
        <v>761</v>
      </c>
      <c r="F25" s="1" t="s">
        <v>842</v>
      </c>
      <c r="G25" s="1" t="s">
        <v>843</v>
      </c>
      <c r="K25" s="1" t="s">
        <v>851</v>
      </c>
      <c r="L25" s="1" t="s">
        <v>845</v>
      </c>
      <c r="M25" s="1" t="s">
        <v>482</v>
      </c>
      <c r="N25" s="1" t="s">
        <v>534</v>
      </c>
      <c r="O25" s="1" t="s">
        <v>853</v>
      </c>
      <c r="P25" s="1" t="s">
        <v>854</v>
      </c>
      <c r="Q25" s="1" t="s">
        <v>537</v>
      </c>
      <c r="R25" s="1" t="s">
        <v>778</v>
      </c>
      <c r="S25" s="1" t="s">
        <v>331</v>
      </c>
      <c r="T25" s="1" t="s">
        <v>855</v>
      </c>
      <c r="U25" s="1" t="s">
        <v>856</v>
      </c>
      <c r="V25" s="1" t="s">
        <v>857</v>
      </c>
      <c r="W25" s="1" t="s">
        <v>861</v>
      </c>
      <c r="X25" s="12" t="s">
        <v>859</v>
      </c>
      <c r="Y25" s="1" t="s">
        <v>691</v>
      </c>
      <c r="Z25" s="12" t="s">
        <v>860</v>
      </c>
      <c r="AA25" s="1" t="s">
        <v>193</v>
      </c>
      <c r="AB25" s="1" t="s">
        <v>862</v>
      </c>
      <c r="AC25" s="1" t="s">
        <v>863</v>
      </c>
      <c r="AD25" s="1" t="s">
        <v>199</v>
      </c>
      <c r="AE25" s="1" t="s">
        <v>200</v>
      </c>
      <c r="AF25" s="1" t="s">
        <v>201</v>
      </c>
      <c r="AG25" s="1" t="s">
        <v>202</v>
      </c>
      <c r="AH25" s="1" t="s">
        <v>864</v>
      </c>
      <c r="AI25" s="1" t="s">
        <v>549</v>
      </c>
      <c r="AJ25" s="1" t="s">
        <v>205</v>
      </c>
      <c r="AK25" s="1" t="s">
        <v>698</v>
      </c>
      <c r="AL25" s="1" t="s">
        <v>207</v>
      </c>
      <c r="AM25" s="1" t="s">
        <v>208</v>
      </c>
      <c r="AN25" s="1" t="s">
        <v>209</v>
      </c>
      <c r="AO25" s="1" t="s">
        <v>173</v>
      </c>
      <c r="AP25" s="1" t="s">
        <v>174</v>
      </c>
      <c r="AQ25" s="1" t="s">
        <v>172</v>
      </c>
      <c r="AR25" s="1" t="s">
        <v>172</v>
      </c>
      <c r="AS25" s="1" t="s">
        <v>1558</v>
      </c>
      <c r="AT25" s="1" t="s">
        <v>1559</v>
      </c>
      <c r="AU25" s="1" t="s">
        <v>562</v>
      </c>
      <c r="AV25" s="1" t="s">
        <v>172</v>
      </c>
      <c r="AW25" s="1" t="s">
        <v>562</v>
      </c>
      <c r="AX25" s="1" t="s">
        <v>1565</v>
      </c>
      <c r="AY25" s="1" t="s">
        <v>1561</v>
      </c>
    </row>
    <row r="26" customFormat="false" ht="41.25" hidden="false" customHeight="true" outlineLevel="0" collapsed="false">
      <c r="A26" s="1" t="s">
        <v>865</v>
      </c>
      <c r="B26" s="1" t="s">
        <v>663</v>
      </c>
      <c r="C26" s="1" t="s">
        <v>674</v>
      </c>
      <c r="D26" s="1" t="s">
        <v>316</v>
      </c>
      <c r="E26" s="1" t="s">
        <v>730</v>
      </c>
      <c r="F26" s="1" t="s">
        <v>731</v>
      </c>
      <c r="G26" s="1" t="s">
        <v>880</v>
      </c>
      <c r="H26" s="1" t="s">
        <v>881</v>
      </c>
      <c r="I26" s="1" t="s">
        <v>882</v>
      </c>
      <c r="J26" s="1" t="s">
        <v>883</v>
      </c>
      <c r="K26" s="1" t="s">
        <v>874</v>
      </c>
      <c r="L26" s="1" t="s">
        <v>868</v>
      </c>
      <c r="M26" s="1" t="s">
        <v>234</v>
      </c>
      <c r="N26" s="1" t="s">
        <v>876</v>
      </c>
      <c r="O26" s="1" t="s">
        <v>877</v>
      </c>
      <c r="P26" s="1" t="s">
        <v>878</v>
      </c>
      <c r="Q26" s="1" t="s">
        <v>777</v>
      </c>
      <c r="R26" s="1" t="s">
        <v>879</v>
      </c>
      <c r="S26" s="1" t="s">
        <v>331</v>
      </c>
      <c r="T26" s="1" t="s">
        <v>884</v>
      </c>
      <c r="U26" s="1" t="s">
        <v>885</v>
      </c>
      <c r="V26" s="1" t="s">
        <v>886</v>
      </c>
      <c r="W26" s="1" t="s">
        <v>890</v>
      </c>
      <c r="X26" s="12" t="s">
        <v>888</v>
      </c>
      <c r="Y26" s="1" t="s">
        <v>691</v>
      </c>
      <c r="Z26" s="12" t="s">
        <v>889</v>
      </c>
      <c r="AA26" s="1" t="s">
        <v>193</v>
      </c>
      <c r="AB26" s="1" t="s">
        <v>891</v>
      </c>
      <c r="AC26" s="1" t="s">
        <v>892</v>
      </c>
      <c r="AD26" s="1" t="s">
        <v>199</v>
      </c>
      <c r="AE26" s="1" t="s">
        <v>200</v>
      </c>
      <c r="AF26" s="1" t="s">
        <v>201</v>
      </c>
      <c r="AG26" s="1" t="s">
        <v>202</v>
      </c>
      <c r="AH26" s="1" t="s">
        <v>893</v>
      </c>
      <c r="AI26" s="1" t="s">
        <v>894</v>
      </c>
      <c r="AJ26" s="1" t="s">
        <v>205</v>
      </c>
      <c r="AK26" s="1" t="s">
        <v>698</v>
      </c>
      <c r="AL26" s="1" t="s">
        <v>207</v>
      </c>
      <c r="AM26" s="1" t="s">
        <v>208</v>
      </c>
      <c r="AN26" s="1" t="s">
        <v>209</v>
      </c>
      <c r="AO26" s="1" t="s">
        <v>173</v>
      </c>
      <c r="AP26" s="1" t="s">
        <v>174</v>
      </c>
      <c r="AQ26" s="1" t="s">
        <v>172</v>
      </c>
      <c r="AR26" s="1" t="s">
        <v>172</v>
      </c>
      <c r="AS26" s="1" t="s">
        <v>1558</v>
      </c>
      <c r="AT26" s="1" t="s">
        <v>1559</v>
      </c>
      <c r="AU26" s="1" t="s">
        <v>562</v>
      </c>
      <c r="AV26" s="1" t="s">
        <v>562</v>
      </c>
      <c r="AW26" s="1" t="s">
        <v>562</v>
      </c>
    </row>
    <row r="27" customFormat="false" ht="41.25" hidden="false" customHeight="true" outlineLevel="0" collapsed="false">
      <c r="A27" s="1" t="s">
        <v>895</v>
      </c>
      <c r="B27" s="1" t="s">
        <v>663</v>
      </c>
      <c r="C27" s="1" t="s">
        <v>674</v>
      </c>
      <c r="D27" s="1" t="s">
        <v>316</v>
      </c>
      <c r="E27" s="1" t="s">
        <v>761</v>
      </c>
      <c r="F27" s="1" t="s">
        <v>762</v>
      </c>
      <c r="G27" s="1" t="s">
        <v>681</v>
      </c>
      <c r="H27" s="1" t="s">
        <v>682</v>
      </c>
      <c r="I27" s="1" t="s">
        <v>683</v>
      </c>
      <c r="J27" s="1" t="s">
        <v>667</v>
      </c>
      <c r="K27" s="1" t="s">
        <v>684</v>
      </c>
      <c r="L27" s="1" t="s">
        <v>685</v>
      </c>
      <c r="M27" s="1" t="s">
        <v>234</v>
      </c>
      <c r="N27" s="1" t="s">
        <v>904</v>
      </c>
      <c r="O27" s="1" t="s">
        <v>905</v>
      </c>
      <c r="P27" s="1" t="s">
        <v>906</v>
      </c>
      <c r="Q27" s="1" t="s">
        <v>907</v>
      </c>
      <c r="R27" s="1" t="s">
        <v>908</v>
      </c>
      <c r="S27" s="1" t="s">
        <v>230</v>
      </c>
      <c r="T27" s="1" t="s">
        <v>909</v>
      </c>
      <c r="U27" s="1" t="s">
        <v>910</v>
      </c>
      <c r="V27" s="1" t="s">
        <v>911</v>
      </c>
      <c r="W27" s="1" t="s">
        <v>915</v>
      </c>
      <c r="X27" s="12" t="s">
        <v>913</v>
      </c>
      <c r="Y27" s="1" t="s">
        <v>691</v>
      </c>
      <c r="Z27" s="12" t="s">
        <v>914</v>
      </c>
      <c r="AA27" s="1" t="s">
        <v>193</v>
      </c>
      <c r="AB27" s="1" t="s">
        <v>916</v>
      </c>
      <c r="AC27" s="1" t="s">
        <v>917</v>
      </c>
      <c r="AD27" s="1" t="s">
        <v>199</v>
      </c>
      <c r="AE27" s="1" t="s">
        <v>200</v>
      </c>
      <c r="AF27" s="1" t="s">
        <v>201</v>
      </c>
      <c r="AG27" s="1" t="s">
        <v>202</v>
      </c>
      <c r="AH27" s="1" t="s">
        <v>918</v>
      </c>
      <c r="AI27" s="1" t="s">
        <v>919</v>
      </c>
      <c r="AJ27" s="1" t="s">
        <v>205</v>
      </c>
      <c r="AK27" s="1" t="s">
        <v>920</v>
      </c>
      <c r="AL27" s="1" t="s">
        <v>207</v>
      </c>
      <c r="AM27" s="1" t="s">
        <v>208</v>
      </c>
      <c r="AN27" s="1" t="s">
        <v>209</v>
      </c>
      <c r="AO27" s="1" t="s">
        <v>173</v>
      </c>
      <c r="AP27" s="1" t="s">
        <v>174</v>
      </c>
      <c r="AQ27" s="1" t="s">
        <v>172</v>
      </c>
      <c r="AR27" s="1" t="s">
        <v>172</v>
      </c>
      <c r="AS27" s="1" t="s">
        <v>1558</v>
      </c>
      <c r="AT27" s="1" t="s">
        <v>1559</v>
      </c>
      <c r="AU27" s="1" t="s">
        <v>562</v>
      </c>
      <c r="AV27" s="1" t="s">
        <v>562</v>
      </c>
      <c r="AW27" s="1" t="s">
        <v>562</v>
      </c>
    </row>
    <row r="28" customFormat="false" ht="41.25" hidden="false" customHeight="true" outlineLevel="0" collapsed="false">
      <c r="A28" s="1" t="s">
        <v>921</v>
      </c>
      <c r="B28" s="1" t="s">
        <v>663</v>
      </c>
      <c r="C28" s="1" t="s">
        <v>674</v>
      </c>
      <c r="D28" s="1" t="s">
        <v>212</v>
      </c>
      <c r="E28" s="1" t="s">
        <v>922</v>
      </c>
      <c r="F28" s="1" t="s">
        <v>842</v>
      </c>
      <c r="G28" s="1" t="s">
        <v>923</v>
      </c>
      <c r="K28" s="1" t="s">
        <v>931</v>
      </c>
      <c r="L28" s="1" t="s">
        <v>925</v>
      </c>
      <c r="M28" s="1" t="s">
        <v>482</v>
      </c>
      <c r="N28" s="1" t="s">
        <v>933</v>
      </c>
      <c r="O28" s="1" t="s">
        <v>934</v>
      </c>
      <c r="P28" s="1" t="s">
        <v>935</v>
      </c>
      <c r="Q28" s="1" t="s">
        <v>228</v>
      </c>
      <c r="R28" s="1" t="s">
        <v>479</v>
      </c>
      <c r="S28" s="1" t="s">
        <v>230</v>
      </c>
      <c r="T28" s="1" t="s">
        <v>936</v>
      </c>
      <c r="U28" s="1" t="s">
        <v>937</v>
      </c>
      <c r="V28" s="1" t="s">
        <v>938</v>
      </c>
      <c r="W28" s="1" t="s">
        <v>942</v>
      </c>
      <c r="X28" s="12" t="s">
        <v>940</v>
      </c>
      <c r="Y28" s="1" t="s">
        <v>691</v>
      </c>
      <c r="Z28" s="12" t="s">
        <v>941</v>
      </c>
      <c r="AA28" s="1" t="s">
        <v>193</v>
      </c>
      <c r="AB28" s="1" t="s">
        <v>943</v>
      </c>
      <c r="AC28" s="1" t="s">
        <v>944</v>
      </c>
      <c r="AD28" s="1" t="s">
        <v>199</v>
      </c>
      <c r="AE28" s="1" t="s">
        <v>200</v>
      </c>
      <c r="AF28" s="1" t="s">
        <v>201</v>
      </c>
      <c r="AG28" s="1" t="s">
        <v>202</v>
      </c>
      <c r="AH28" s="1" t="s">
        <v>945</v>
      </c>
      <c r="AI28" s="1" t="s">
        <v>946</v>
      </c>
      <c r="AJ28" s="1" t="s">
        <v>205</v>
      </c>
      <c r="AK28" s="1" t="s">
        <v>698</v>
      </c>
      <c r="AL28" s="1" t="s">
        <v>207</v>
      </c>
      <c r="AM28" s="1" t="s">
        <v>208</v>
      </c>
      <c r="AN28" s="1" t="s">
        <v>209</v>
      </c>
      <c r="AO28" s="1" t="s">
        <v>173</v>
      </c>
      <c r="AP28" s="1" t="s">
        <v>174</v>
      </c>
      <c r="AQ28" s="1" t="s">
        <v>172</v>
      </c>
      <c r="AR28" s="1" t="s">
        <v>172</v>
      </c>
      <c r="AS28" s="1" t="s">
        <v>1558</v>
      </c>
      <c r="AT28" s="1" t="s">
        <v>1559</v>
      </c>
      <c r="AU28" s="1" t="s">
        <v>562</v>
      </c>
      <c r="AV28" s="1" t="s">
        <v>172</v>
      </c>
      <c r="AW28" s="1" t="s">
        <v>562</v>
      </c>
      <c r="AX28" s="1" t="s">
        <v>1566</v>
      </c>
      <c r="AY28" s="1" t="s">
        <v>1561</v>
      </c>
    </row>
    <row r="29" customFormat="false" ht="41.25" hidden="false" customHeight="true" outlineLevel="0" collapsed="false">
      <c r="A29" s="1" t="s">
        <v>947</v>
      </c>
      <c r="B29" s="1" t="s">
        <v>663</v>
      </c>
      <c r="C29" s="1" t="s">
        <v>674</v>
      </c>
      <c r="D29" s="1" t="s">
        <v>316</v>
      </c>
      <c r="E29" s="1" t="s">
        <v>730</v>
      </c>
      <c r="F29" s="1" t="s">
        <v>701</v>
      </c>
      <c r="G29" s="1" t="s">
        <v>961</v>
      </c>
      <c r="H29" s="1" t="s">
        <v>962</v>
      </c>
      <c r="I29" s="1" t="s">
        <v>963</v>
      </c>
      <c r="J29" s="1" t="s">
        <v>964</v>
      </c>
      <c r="K29" s="1" t="s">
        <v>956</v>
      </c>
      <c r="L29" s="1" t="s">
        <v>950</v>
      </c>
      <c r="M29" s="1" t="s">
        <v>234</v>
      </c>
      <c r="N29" s="1" t="s">
        <v>958</v>
      </c>
      <c r="O29" s="1" t="s">
        <v>959</v>
      </c>
      <c r="P29" s="1" t="s">
        <v>960</v>
      </c>
      <c r="Q29" s="1" t="s">
        <v>228</v>
      </c>
      <c r="R29" s="1" t="s">
        <v>361</v>
      </c>
      <c r="S29" s="1" t="s">
        <v>180</v>
      </c>
      <c r="T29" s="1" t="s">
        <v>965</v>
      </c>
      <c r="U29" s="1" t="s">
        <v>966</v>
      </c>
      <c r="V29" s="1" t="s">
        <v>967</v>
      </c>
      <c r="W29" s="1" t="s">
        <v>971</v>
      </c>
      <c r="X29" s="12" t="s">
        <v>969</v>
      </c>
      <c r="Y29" s="1" t="s">
        <v>691</v>
      </c>
      <c r="Z29" s="12" t="s">
        <v>970</v>
      </c>
      <c r="AA29" s="1" t="s">
        <v>193</v>
      </c>
      <c r="AB29" s="1" t="s">
        <v>972</v>
      </c>
      <c r="AC29" s="1" t="s">
        <v>973</v>
      </c>
      <c r="AD29" s="1" t="s">
        <v>199</v>
      </c>
      <c r="AE29" s="1" t="s">
        <v>200</v>
      </c>
      <c r="AF29" s="1" t="s">
        <v>201</v>
      </c>
      <c r="AG29" s="1" t="s">
        <v>202</v>
      </c>
      <c r="AH29" s="1" t="s">
        <v>974</v>
      </c>
      <c r="AI29" s="1" t="s">
        <v>975</v>
      </c>
      <c r="AJ29" s="1" t="s">
        <v>205</v>
      </c>
      <c r="AK29" s="1" t="s">
        <v>698</v>
      </c>
      <c r="AL29" s="1" t="s">
        <v>207</v>
      </c>
      <c r="AM29" s="1" t="s">
        <v>208</v>
      </c>
      <c r="AN29" s="1" t="s">
        <v>209</v>
      </c>
      <c r="AO29" s="1" t="s">
        <v>173</v>
      </c>
      <c r="AP29" s="1" t="s">
        <v>174</v>
      </c>
      <c r="AQ29" s="1" t="s">
        <v>172</v>
      </c>
      <c r="AR29" s="1" t="s">
        <v>172</v>
      </c>
      <c r="AS29" s="1" t="s">
        <v>1558</v>
      </c>
      <c r="AT29" s="1" t="s">
        <v>1559</v>
      </c>
      <c r="AU29" s="1" t="s">
        <v>172</v>
      </c>
      <c r="AV29" s="1" t="s">
        <v>562</v>
      </c>
      <c r="AW29" s="1" t="s">
        <v>562</v>
      </c>
    </row>
    <row r="30" customFormat="false" ht="41.25" hidden="false" customHeight="true" outlineLevel="0" collapsed="false">
      <c r="A30" s="1" t="s">
        <v>976</v>
      </c>
      <c r="B30" s="1" t="s">
        <v>663</v>
      </c>
      <c r="C30" s="1" t="s">
        <v>674</v>
      </c>
      <c r="D30" s="1" t="s">
        <v>154</v>
      </c>
      <c r="E30" s="1" t="s">
        <v>730</v>
      </c>
      <c r="F30" s="1" t="s">
        <v>762</v>
      </c>
      <c r="G30" s="1" t="s">
        <v>745</v>
      </c>
      <c r="H30" s="1" t="s">
        <v>746</v>
      </c>
      <c r="I30" s="1" t="s">
        <v>747</v>
      </c>
      <c r="J30" s="1" t="s">
        <v>748</v>
      </c>
      <c r="K30" s="1" t="s">
        <v>986</v>
      </c>
      <c r="L30" s="1" t="s">
        <v>979</v>
      </c>
      <c r="M30" s="1" t="s">
        <v>184</v>
      </c>
      <c r="N30" s="1" t="s">
        <v>476</v>
      </c>
      <c r="O30" s="1" t="s">
        <v>988</v>
      </c>
      <c r="P30" s="1" t="s">
        <v>989</v>
      </c>
      <c r="Q30" s="1" t="s">
        <v>228</v>
      </c>
      <c r="R30" s="1" t="s">
        <v>479</v>
      </c>
      <c r="S30" s="1" t="s">
        <v>230</v>
      </c>
      <c r="T30" s="1" t="s">
        <v>991</v>
      </c>
      <c r="U30" s="1" t="s">
        <v>992</v>
      </c>
      <c r="V30" s="1" t="s">
        <v>993</v>
      </c>
      <c r="W30" s="1" t="s">
        <v>997</v>
      </c>
      <c r="X30" s="12" t="s">
        <v>995</v>
      </c>
      <c r="Y30" s="1" t="s">
        <v>691</v>
      </c>
      <c r="Z30" s="12" t="s">
        <v>996</v>
      </c>
      <c r="AA30" s="1" t="s">
        <v>193</v>
      </c>
      <c r="AB30" s="1" t="s">
        <v>998</v>
      </c>
      <c r="AC30" s="1" t="s">
        <v>999</v>
      </c>
      <c r="AD30" s="1" t="s">
        <v>199</v>
      </c>
      <c r="AE30" s="1" t="s">
        <v>200</v>
      </c>
      <c r="AF30" s="1" t="s">
        <v>201</v>
      </c>
      <c r="AG30" s="1" t="s">
        <v>202</v>
      </c>
      <c r="AH30" s="1" t="s">
        <v>1000</v>
      </c>
      <c r="AI30" s="1" t="s">
        <v>1001</v>
      </c>
      <c r="AJ30" s="1" t="s">
        <v>205</v>
      </c>
      <c r="AK30" s="1" t="s">
        <v>818</v>
      </c>
      <c r="AL30" s="1" t="s">
        <v>207</v>
      </c>
      <c r="AM30" s="1" t="s">
        <v>208</v>
      </c>
      <c r="AN30" s="1" t="s">
        <v>209</v>
      </c>
      <c r="AO30" s="1" t="s">
        <v>173</v>
      </c>
      <c r="AP30" s="1" t="s">
        <v>174</v>
      </c>
      <c r="AQ30" s="1" t="s">
        <v>172</v>
      </c>
      <c r="AR30" s="1" t="s">
        <v>172</v>
      </c>
      <c r="AS30" s="1" t="s">
        <v>1558</v>
      </c>
      <c r="AT30" s="1" t="s">
        <v>1559</v>
      </c>
      <c r="AU30" s="1" t="s">
        <v>172</v>
      </c>
      <c r="AV30" s="1" t="s">
        <v>562</v>
      </c>
      <c r="AW30" s="1" t="s">
        <v>562</v>
      </c>
    </row>
    <row r="31" customFormat="false" ht="41.25" hidden="false" customHeight="true" outlineLevel="0" collapsed="false">
      <c r="A31" s="1" t="s">
        <v>1002</v>
      </c>
      <c r="B31" s="1" t="s">
        <v>663</v>
      </c>
      <c r="C31" s="1" t="s">
        <v>674</v>
      </c>
      <c r="D31" s="1" t="s">
        <v>212</v>
      </c>
      <c r="E31" s="1" t="s">
        <v>662</v>
      </c>
      <c r="F31" s="1" t="s">
        <v>664</v>
      </c>
      <c r="G31" s="1" t="s">
        <v>1003</v>
      </c>
      <c r="H31" s="1" t="s">
        <v>1011</v>
      </c>
      <c r="I31" s="1" t="s">
        <v>1012</v>
      </c>
      <c r="J31" s="1" t="s">
        <v>1013</v>
      </c>
      <c r="K31" s="1" t="s">
        <v>799</v>
      </c>
      <c r="L31" s="1" t="s">
        <v>793</v>
      </c>
      <c r="M31" s="1" t="s">
        <v>234</v>
      </c>
      <c r="N31" s="1" t="s">
        <v>603</v>
      </c>
      <c r="O31" s="1" t="s">
        <v>1004</v>
      </c>
      <c r="P31" s="1" t="s">
        <v>1010</v>
      </c>
      <c r="Q31" s="1" t="s">
        <v>228</v>
      </c>
      <c r="R31" s="1" t="s">
        <v>361</v>
      </c>
      <c r="S31" s="1" t="s">
        <v>230</v>
      </c>
      <c r="T31" s="1" t="s">
        <v>1014</v>
      </c>
      <c r="U31" s="1" t="s">
        <v>1015</v>
      </c>
      <c r="V31" s="1" t="s">
        <v>1016</v>
      </c>
      <c r="W31" s="1" t="s">
        <v>1017</v>
      </c>
      <c r="X31" s="12" t="s">
        <v>1007</v>
      </c>
      <c r="Y31" s="1" t="s">
        <v>691</v>
      </c>
      <c r="Z31" s="12" t="s">
        <v>1008</v>
      </c>
      <c r="AA31" s="1" t="s">
        <v>193</v>
      </c>
      <c r="AB31" s="1" t="s">
        <v>1018</v>
      </c>
      <c r="AC31" s="1" t="s">
        <v>1019</v>
      </c>
      <c r="AD31" s="1" t="s">
        <v>199</v>
      </c>
      <c r="AE31" s="1" t="s">
        <v>200</v>
      </c>
      <c r="AF31" s="1" t="s">
        <v>201</v>
      </c>
      <c r="AG31" s="1" t="s">
        <v>202</v>
      </c>
      <c r="AH31" s="1" t="s">
        <v>1020</v>
      </c>
      <c r="AI31" s="1" t="s">
        <v>1021</v>
      </c>
      <c r="AJ31" s="1" t="s">
        <v>205</v>
      </c>
      <c r="AK31" s="1" t="s">
        <v>818</v>
      </c>
      <c r="AL31" s="1" t="s">
        <v>207</v>
      </c>
      <c r="AM31" s="1" t="s">
        <v>208</v>
      </c>
      <c r="AN31" s="1" t="s">
        <v>209</v>
      </c>
      <c r="AO31" s="1" t="s">
        <v>173</v>
      </c>
      <c r="AP31" s="1" t="s">
        <v>174</v>
      </c>
      <c r="AQ31" s="1" t="s">
        <v>562</v>
      </c>
      <c r="AR31" s="1" t="s">
        <v>172</v>
      </c>
      <c r="AS31" s="1" t="s">
        <v>1558</v>
      </c>
      <c r="AT31" s="1" t="s">
        <v>1559</v>
      </c>
      <c r="AU31" s="1" t="s">
        <v>562</v>
      </c>
      <c r="AV31" s="1" t="s">
        <v>562</v>
      </c>
      <c r="AW31" s="1" t="s">
        <v>562</v>
      </c>
    </row>
    <row r="32" customFormat="false" ht="41.25" hidden="false" customHeight="true" outlineLevel="0" collapsed="false">
      <c r="A32" s="1" t="s">
        <v>1022</v>
      </c>
      <c r="B32" s="1" t="s">
        <v>663</v>
      </c>
      <c r="C32" s="1" t="s">
        <v>674</v>
      </c>
      <c r="D32" s="1" t="s">
        <v>154</v>
      </c>
      <c r="E32" s="1" t="s">
        <v>761</v>
      </c>
      <c r="F32" s="1" t="s">
        <v>1023</v>
      </c>
      <c r="G32" s="1" t="s">
        <v>1024</v>
      </c>
      <c r="H32" s="1" t="s">
        <v>1032</v>
      </c>
      <c r="I32" s="1" t="s">
        <v>1033</v>
      </c>
      <c r="J32" s="1" t="s">
        <v>1034</v>
      </c>
      <c r="K32" s="1" t="s">
        <v>986</v>
      </c>
      <c r="L32" s="1" t="s">
        <v>979</v>
      </c>
      <c r="M32" s="1" t="s">
        <v>184</v>
      </c>
      <c r="N32" s="1" t="s">
        <v>263</v>
      </c>
      <c r="O32" s="1" t="s">
        <v>1025</v>
      </c>
      <c r="P32" s="1" t="s">
        <v>1031</v>
      </c>
      <c r="Q32" s="1" t="s">
        <v>228</v>
      </c>
      <c r="R32" s="1" t="s">
        <v>361</v>
      </c>
      <c r="S32" s="1" t="s">
        <v>331</v>
      </c>
      <c r="T32" s="1" t="s">
        <v>1036</v>
      </c>
      <c r="U32" s="1" t="s">
        <v>1037</v>
      </c>
      <c r="V32" s="1" t="s">
        <v>1038</v>
      </c>
      <c r="W32" s="1" t="s">
        <v>1039</v>
      </c>
      <c r="X32" s="12" t="s">
        <v>1028</v>
      </c>
      <c r="Y32" s="1" t="s">
        <v>691</v>
      </c>
      <c r="Z32" s="12" t="s">
        <v>1029</v>
      </c>
      <c r="AA32" s="1" t="s">
        <v>193</v>
      </c>
      <c r="AB32" s="1" t="s">
        <v>1040</v>
      </c>
      <c r="AC32" s="1" t="s">
        <v>1041</v>
      </c>
      <c r="AD32" s="1" t="s">
        <v>199</v>
      </c>
      <c r="AE32" s="1" t="s">
        <v>200</v>
      </c>
      <c r="AF32" s="1" t="s">
        <v>201</v>
      </c>
      <c r="AG32" s="1" t="s">
        <v>202</v>
      </c>
      <c r="AH32" s="1" t="s">
        <v>1042</v>
      </c>
      <c r="AI32" s="1" t="s">
        <v>1043</v>
      </c>
      <c r="AJ32" s="1" t="s">
        <v>205</v>
      </c>
      <c r="AK32" s="1" t="s">
        <v>728</v>
      </c>
      <c r="AL32" s="1" t="s">
        <v>207</v>
      </c>
      <c r="AM32" s="1" t="s">
        <v>208</v>
      </c>
      <c r="AN32" s="1" t="s">
        <v>209</v>
      </c>
      <c r="AO32" s="1" t="s">
        <v>173</v>
      </c>
      <c r="AP32" s="1" t="s">
        <v>174</v>
      </c>
      <c r="AQ32" s="1" t="s">
        <v>562</v>
      </c>
      <c r="AR32" s="1" t="s">
        <v>172</v>
      </c>
      <c r="AS32" s="1" t="s">
        <v>1558</v>
      </c>
      <c r="AT32" s="1" t="s">
        <v>1559</v>
      </c>
      <c r="AU32" s="1" t="s">
        <v>562</v>
      </c>
      <c r="AV32" s="1" t="s">
        <v>562</v>
      </c>
      <c r="AW32" s="1" t="s">
        <v>562</v>
      </c>
    </row>
    <row r="33" customFormat="false" ht="41.25" hidden="false" customHeight="true" outlineLevel="0" collapsed="false">
      <c r="A33" s="1" t="s">
        <v>1044</v>
      </c>
      <c r="B33" s="1" t="s">
        <v>663</v>
      </c>
      <c r="C33" s="1" t="s">
        <v>674</v>
      </c>
      <c r="D33" s="1" t="s">
        <v>316</v>
      </c>
      <c r="E33" s="1" t="s">
        <v>922</v>
      </c>
      <c r="F33" s="1" t="s">
        <v>731</v>
      </c>
      <c r="G33" s="1" t="s">
        <v>803</v>
      </c>
      <c r="H33" s="1" t="s">
        <v>1054</v>
      </c>
      <c r="I33" s="1" t="s">
        <v>1055</v>
      </c>
      <c r="J33" s="1" t="s">
        <v>1056</v>
      </c>
      <c r="K33" s="1" t="s">
        <v>799</v>
      </c>
      <c r="L33" s="1" t="s">
        <v>793</v>
      </c>
      <c r="M33" s="1" t="s">
        <v>184</v>
      </c>
      <c r="N33" s="1" t="s">
        <v>1051</v>
      </c>
      <c r="O33" s="1" t="s">
        <v>1045</v>
      </c>
      <c r="P33" s="1" t="s">
        <v>1052</v>
      </c>
      <c r="Q33" s="1" t="s">
        <v>228</v>
      </c>
      <c r="R33" s="1" t="s">
        <v>1053</v>
      </c>
      <c r="S33" s="1" t="s">
        <v>331</v>
      </c>
      <c r="T33" s="1" t="s">
        <v>1058</v>
      </c>
      <c r="U33" s="1" t="s">
        <v>1059</v>
      </c>
      <c r="V33" s="1" t="s">
        <v>1060</v>
      </c>
      <c r="W33" s="1" t="s">
        <v>1061</v>
      </c>
      <c r="X33" s="12" t="s">
        <v>1048</v>
      </c>
      <c r="Y33" s="1" t="s">
        <v>691</v>
      </c>
      <c r="Z33" s="12" t="s">
        <v>1049</v>
      </c>
      <c r="AA33" s="1" t="s">
        <v>193</v>
      </c>
      <c r="AB33" s="1" t="s">
        <v>1062</v>
      </c>
      <c r="AC33" s="1" t="s">
        <v>1063</v>
      </c>
      <c r="AD33" s="1" t="s">
        <v>199</v>
      </c>
      <c r="AE33" s="1" t="s">
        <v>200</v>
      </c>
      <c r="AF33" s="1" t="s">
        <v>201</v>
      </c>
      <c r="AG33" s="1" t="s">
        <v>202</v>
      </c>
      <c r="AH33" s="1" t="s">
        <v>1064</v>
      </c>
      <c r="AI33" s="1" t="s">
        <v>1065</v>
      </c>
      <c r="AJ33" s="1" t="s">
        <v>205</v>
      </c>
      <c r="AK33" s="1" t="s">
        <v>818</v>
      </c>
      <c r="AL33" s="1" t="s">
        <v>207</v>
      </c>
      <c r="AM33" s="1" t="s">
        <v>208</v>
      </c>
      <c r="AN33" s="1" t="s">
        <v>209</v>
      </c>
      <c r="AO33" s="1" t="s">
        <v>173</v>
      </c>
      <c r="AP33" s="1" t="s">
        <v>174</v>
      </c>
      <c r="AQ33" s="1" t="s">
        <v>562</v>
      </c>
      <c r="AR33" s="1" t="s">
        <v>172</v>
      </c>
      <c r="AS33" s="1" t="s">
        <v>1558</v>
      </c>
      <c r="AT33" s="1" t="s">
        <v>1559</v>
      </c>
      <c r="AU33" s="1" t="s">
        <v>172</v>
      </c>
      <c r="AV33" s="1" t="s">
        <v>562</v>
      </c>
      <c r="AW33" s="1" t="s">
        <v>562</v>
      </c>
    </row>
    <row r="34" customFormat="false" ht="41.25" hidden="false" customHeight="true" outlineLevel="0" collapsed="false">
      <c r="A34" s="1" t="s">
        <v>1066</v>
      </c>
      <c r="B34" s="1" t="s">
        <v>663</v>
      </c>
      <c r="C34" s="1" t="s">
        <v>674</v>
      </c>
      <c r="D34" s="1" t="s">
        <v>154</v>
      </c>
      <c r="E34" s="1" t="s">
        <v>761</v>
      </c>
      <c r="F34" s="1" t="s">
        <v>701</v>
      </c>
      <c r="G34" s="1" t="s">
        <v>158</v>
      </c>
      <c r="H34" s="1" t="s">
        <v>1074</v>
      </c>
      <c r="I34" s="1" t="s">
        <v>1075</v>
      </c>
      <c r="J34" s="1" t="s">
        <v>1076</v>
      </c>
      <c r="K34" s="1" t="s">
        <v>986</v>
      </c>
      <c r="L34" s="1" t="s">
        <v>979</v>
      </c>
      <c r="M34" s="1" t="s">
        <v>184</v>
      </c>
      <c r="N34" s="1" t="s">
        <v>476</v>
      </c>
      <c r="O34" s="1" t="s">
        <v>1067</v>
      </c>
      <c r="P34" s="1" t="s">
        <v>1073</v>
      </c>
      <c r="Q34" s="1" t="s">
        <v>228</v>
      </c>
      <c r="R34" s="1" t="s">
        <v>361</v>
      </c>
      <c r="S34" s="1" t="s">
        <v>331</v>
      </c>
      <c r="T34" s="1" t="s">
        <v>1078</v>
      </c>
      <c r="U34" s="1" t="s">
        <v>1079</v>
      </c>
      <c r="V34" s="1" t="s">
        <v>1080</v>
      </c>
      <c r="W34" s="1" t="s">
        <v>1081</v>
      </c>
      <c r="X34" s="12" t="s">
        <v>1070</v>
      </c>
      <c r="Y34" s="1" t="s">
        <v>691</v>
      </c>
      <c r="Z34" s="12" t="s">
        <v>1071</v>
      </c>
      <c r="AA34" s="1" t="s">
        <v>193</v>
      </c>
      <c r="AB34" s="1" t="s">
        <v>1082</v>
      </c>
      <c r="AC34" s="1" t="s">
        <v>1083</v>
      </c>
      <c r="AD34" s="1" t="s">
        <v>199</v>
      </c>
      <c r="AE34" s="1" t="s">
        <v>200</v>
      </c>
      <c r="AF34" s="1" t="s">
        <v>201</v>
      </c>
      <c r="AG34" s="1" t="s">
        <v>202</v>
      </c>
      <c r="AH34" s="1" t="s">
        <v>1084</v>
      </c>
      <c r="AI34" s="1" t="s">
        <v>1085</v>
      </c>
      <c r="AJ34" s="1" t="s">
        <v>205</v>
      </c>
      <c r="AK34" s="1" t="s">
        <v>728</v>
      </c>
      <c r="AL34" s="1" t="s">
        <v>207</v>
      </c>
      <c r="AM34" s="1" t="s">
        <v>208</v>
      </c>
      <c r="AN34" s="1" t="s">
        <v>209</v>
      </c>
      <c r="AO34" s="1" t="s">
        <v>173</v>
      </c>
      <c r="AP34" s="1" t="s">
        <v>174</v>
      </c>
      <c r="AQ34" s="1" t="s">
        <v>562</v>
      </c>
      <c r="AR34" s="1" t="s">
        <v>172</v>
      </c>
      <c r="AS34" s="1" t="s">
        <v>1558</v>
      </c>
      <c r="AT34" s="1" t="s">
        <v>1559</v>
      </c>
      <c r="AU34" s="1" t="s">
        <v>562</v>
      </c>
      <c r="AV34" s="1" t="s">
        <v>562</v>
      </c>
      <c r="AW34" s="1" t="s">
        <v>562</v>
      </c>
    </row>
    <row r="35" customFormat="false" ht="41.25" hidden="false" customHeight="true" outlineLevel="0" collapsed="false">
      <c r="A35" s="1" t="s">
        <v>1086</v>
      </c>
      <c r="B35" s="1" t="s">
        <v>663</v>
      </c>
      <c r="C35" s="1" t="s">
        <v>674</v>
      </c>
      <c r="D35" s="1" t="s">
        <v>212</v>
      </c>
      <c r="E35" s="1" t="s">
        <v>761</v>
      </c>
      <c r="F35" s="1" t="s">
        <v>701</v>
      </c>
      <c r="G35" s="1" t="s">
        <v>1567</v>
      </c>
      <c r="K35" s="1" t="s">
        <v>799</v>
      </c>
      <c r="L35" s="1" t="s">
        <v>793</v>
      </c>
      <c r="M35" s="1" t="s">
        <v>482</v>
      </c>
      <c r="N35" s="1" t="s">
        <v>603</v>
      </c>
      <c r="O35" s="1" t="s">
        <v>1088</v>
      </c>
      <c r="P35" s="1" t="s">
        <v>1095</v>
      </c>
      <c r="Q35" s="1" t="s">
        <v>228</v>
      </c>
      <c r="R35" s="1" t="s">
        <v>361</v>
      </c>
      <c r="S35" s="1" t="s">
        <v>230</v>
      </c>
      <c r="T35" s="1" t="s">
        <v>1096</v>
      </c>
      <c r="U35" s="1" t="s">
        <v>1097</v>
      </c>
      <c r="V35" s="1" t="s">
        <v>1098</v>
      </c>
      <c r="W35" s="1" t="s">
        <v>1099</v>
      </c>
      <c r="X35" s="12" t="s">
        <v>1091</v>
      </c>
      <c r="Y35" s="1" t="s">
        <v>691</v>
      </c>
      <c r="Z35" s="12" t="s">
        <v>1092</v>
      </c>
      <c r="AA35" s="1" t="s">
        <v>193</v>
      </c>
      <c r="AB35" s="1" t="s">
        <v>1100</v>
      </c>
      <c r="AC35" s="1" t="s">
        <v>1101</v>
      </c>
      <c r="AD35" s="1" t="s">
        <v>199</v>
      </c>
      <c r="AE35" s="1" t="s">
        <v>200</v>
      </c>
      <c r="AF35" s="1" t="s">
        <v>201</v>
      </c>
      <c r="AG35" s="1" t="s">
        <v>202</v>
      </c>
      <c r="AH35" s="1" t="s">
        <v>1102</v>
      </c>
      <c r="AI35" s="1" t="s">
        <v>1103</v>
      </c>
      <c r="AJ35" s="1" t="s">
        <v>205</v>
      </c>
      <c r="AK35" s="1" t="s">
        <v>728</v>
      </c>
      <c r="AL35" s="1" t="s">
        <v>207</v>
      </c>
      <c r="AM35" s="1" t="s">
        <v>208</v>
      </c>
      <c r="AN35" s="1" t="s">
        <v>209</v>
      </c>
      <c r="AO35" s="1" t="s">
        <v>173</v>
      </c>
      <c r="AP35" s="1" t="s">
        <v>174</v>
      </c>
      <c r="AQ35" s="1" t="s">
        <v>562</v>
      </c>
      <c r="AR35" s="1" t="s">
        <v>172</v>
      </c>
      <c r="AS35" s="1" t="s">
        <v>1558</v>
      </c>
      <c r="AT35" s="1" t="s">
        <v>1559</v>
      </c>
      <c r="AU35" s="1" t="s">
        <v>562</v>
      </c>
      <c r="AV35" s="1" t="s">
        <v>172</v>
      </c>
      <c r="AW35" s="1" t="s">
        <v>562</v>
      </c>
      <c r="AX35" s="1" t="s">
        <v>1568</v>
      </c>
      <c r="AY35" s="1" t="s">
        <v>1561</v>
      </c>
    </row>
    <row r="36" customFormat="false" ht="41.25" hidden="false" customHeight="true" outlineLevel="0" collapsed="false">
      <c r="A36" s="1" t="s">
        <v>1104</v>
      </c>
      <c r="B36" s="1" t="s">
        <v>1106</v>
      </c>
      <c r="C36" s="1" t="s">
        <v>1117</v>
      </c>
      <c r="D36" s="1" t="s">
        <v>154</v>
      </c>
      <c r="E36" s="1" t="s">
        <v>1105</v>
      </c>
      <c r="F36" s="1" t="s">
        <v>1107</v>
      </c>
      <c r="G36" s="1" t="s">
        <v>1124</v>
      </c>
      <c r="H36" s="1" t="s">
        <v>1125</v>
      </c>
      <c r="I36" s="1" t="s">
        <v>1126</v>
      </c>
      <c r="J36" s="1" t="s">
        <v>1110</v>
      </c>
      <c r="K36" s="1" t="s">
        <v>1127</v>
      </c>
      <c r="L36" s="1" t="s">
        <v>1128</v>
      </c>
      <c r="M36" s="1" t="s">
        <v>234</v>
      </c>
      <c r="N36" s="1" t="s">
        <v>1119</v>
      </c>
      <c r="O36" s="1" t="s">
        <v>1120</v>
      </c>
      <c r="P36" s="1" t="s">
        <v>1121</v>
      </c>
      <c r="Q36" s="1" t="s">
        <v>1122</v>
      </c>
      <c r="R36" s="1" t="s">
        <v>1123</v>
      </c>
      <c r="S36" s="1" t="s">
        <v>180</v>
      </c>
      <c r="T36" s="1" t="s">
        <v>1129</v>
      </c>
      <c r="U36" s="1" t="s">
        <v>1130</v>
      </c>
      <c r="V36" s="1" t="s">
        <v>1131</v>
      </c>
      <c r="W36" s="1" t="s">
        <v>1136</v>
      </c>
      <c r="X36" s="12" t="s">
        <v>1133</v>
      </c>
      <c r="Y36" s="1" t="s">
        <v>1134</v>
      </c>
      <c r="Z36" s="12" t="s">
        <v>1135</v>
      </c>
      <c r="AA36" s="1" t="s">
        <v>193</v>
      </c>
      <c r="AB36" s="1" t="s">
        <v>1137</v>
      </c>
      <c r="AC36" s="1" t="s">
        <v>1138</v>
      </c>
      <c r="AD36" s="1" t="s">
        <v>199</v>
      </c>
      <c r="AE36" s="1" t="s">
        <v>200</v>
      </c>
      <c r="AF36" s="1" t="s">
        <v>201</v>
      </c>
      <c r="AG36" s="1" t="s">
        <v>202</v>
      </c>
      <c r="AH36" s="1" t="s">
        <v>1139</v>
      </c>
      <c r="AI36" s="1" t="s">
        <v>1140</v>
      </c>
      <c r="AJ36" s="1" t="s">
        <v>205</v>
      </c>
      <c r="AK36" s="1" t="s">
        <v>521</v>
      </c>
      <c r="AL36" s="1" t="s">
        <v>207</v>
      </c>
      <c r="AM36" s="1" t="s">
        <v>208</v>
      </c>
      <c r="AN36" s="1" t="s">
        <v>209</v>
      </c>
      <c r="AO36" s="1" t="s">
        <v>173</v>
      </c>
      <c r="AP36" s="1" t="s">
        <v>174</v>
      </c>
      <c r="AQ36" s="1" t="s">
        <v>172</v>
      </c>
      <c r="AR36" s="1" t="s">
        <v>172</v>
      </c>
      <c r="AS36" s="1" t="s">
        <v>1558</v>
      </c>
      <c r="AT36" s="1" t="s">
        <v>1559</v>
      </c>
      <c r="AU36" s="1" t="s">
        <v>562</v>
      </c>
      <c r="AV36" s="1" t="s">
        <v>562</v>
      </c>
      <c r="AW36" s="1" t="s">
        <v>562</v>
      </c>
    </row>
    <row r="37" customFormat="false" ht="41.25" hidden="false" customHeight="true" outlineLevel="0" collapsed="false">
      <c r="A37" s="1" t="s">
        <v>1141</v>
      </c>
      <c r="B37" s="1" t="s">
        <v>1106</v>
      </c>
      <c r="C37" s="1" t="s">
        <v>1117</v>
      </c>
      <c r="D37" s="1" t="s">
        <v>154</v>
      </c>
      <c r="E37" s="1" t="s">
        <v>1142</v>
      </c>
      <c r="F37" s="1" t="s">
        <v>1143</v>
      </c>
      <c r="G37" s="1" t="s">
        <v>745</v>
      </c>
      <c r="H37" s="1" t="s">
        <v>1156</v>
      </c>
      <c r="I37" s="1" t="s">
        <v>1157</v>
      </c>
      <c r="J37" s="1" t="s">
        <v>1158</v>
      </c>
      <c r="K37" s="1" t="s">
        <v>1152</v>
      </c>
      <c r="L37" s="1" t="s">
        <v>1159</v>
      </c>
      <c r="M37" s="1" t="s">
        <v>234</v>
      </c>
      <c r="N37" s="1" t="s">
        <v>387</v>
      </c>
      <c r="O37" s="1" t="s">
        <v>1153</v>
      </c>
      <c r="P37" s="1" t="s">
        <v>1154</v>
      </c>
      <c r="Q37" s="1" t="s">
        <v>537</v>
      </c>
      <c r="R37" s="1" t="s">
        <v>1155</v>
      </c>
      <c r="S37" s="1" t="s">
        <v>331</v>
      </c>
      <c r="T37" s="1" t="s">
        <v>1160</v>
      </c>
      <c r="U37" s="1" t="s">
        <v>1161</v>
      </c>
      <c r="V37" s="1" t="s">
        <v>1162</v>
      </c>
      <c r="W37" s="1" t="s">
        <v>1166</v>
      </c>
      <c r="X37" s="12" t="s">
        <v>1164</v>
      </c>
      <c r="Y37" s="1" t="s">
        <v>1134</v>
      </c>
      <c r="Z37" s="12" t="s">
        <v>1165</v>
      </c>
      <c r="AA37" s="1" t="s">
        <v>193</v>
      </c>
      <c r="AB37" s="1" t="s">
        <v>1167</v>
      </c>
      <c r="AC37" s="1" t="s">
        <v>1168</v>
      </c>
      <c r="AD37" s="1" t="s">
        <v>199</v>
      </c>
      <c r="AE37" s="1" t="s">
        <v>200</v>
      </c>
      <c r="AF37" s="1" t="s">
        <v>201</v>
      </c>
      <c r="AG37" s="1" t="s">
        <v>202</v>
      </c>
      <c r="AH37" s="1" t="s">
        <v>758</v>
      </c>
      <c r="AI37" s="1" t="s">
        <v>1169</v>
      </c>
      <c r="AJ37" s="1" t="s">
        <v>205</v>
      </c>
      <c r="AK37" s="1" t="s">
        <v>1170</v>
      </c>
      <c r="AL37" s="1" t="s">
        <v>207</v>
      </c>
      <c r="AM37" s="1" t="s">
        <v>208</v>
      </c>
      <c r="AN37" s="1" t="s">
        <v>209</v>
      </c>
      <c r="AO37" s="1" t="s">
        <v>173</v>
      </c>
      <c r="AP37" s="1" t="s">
        <v>174</v>
      </c>
      <c r="AQ37" s="1" t="s">
        <v>172</v>
      </c>
      <c r="AR37" s="1" t="s">
        <v>172</v>
      </c>
      <c r="AS37" s="1" t="s">
        <v>1558</v>
      </c>
      <c r="AT37" s="1" t="s">
        <v>1559</v>
      </c>
      <c r="AU37" s="1" t="s">
        <v>172</v>
      </c>
      <c r="AV37" s="1" t="s">
        <v>562</v>
      </c>
      <c r="AW37" s="1" t="s">
        <v>562</v>
      </c>
    </row>
    <row r="38" customFormat="false" ht="41.25" hidden="false" customHeight="true" outlineLevel="0" collapsed="false">
      <c r="A38" s="1" t="s">
        <v>1171</v>
      </c>
      <c r="B38" s="1" t="s">
        <v>1106</v>
      </c>
      <c r="C38" s="1" t="s">
        <v>1117</v>
      </c>
      <c r="D38" s="1" t="s">
        <v>212</v>
      </c>
      <c r="E38" s="1" t="s">
        <v>1105</v>
      </c>
      <c r="F38" s="1" t="s">
        <v>1172</v>
      </c>
      <c r="G38" s="1" t="s">
        <v>745</v>
      </c>
      <c r="H38" s="1" t="s">
        <v>1156</v>
      </c>
      <c r="I38" s="1" t="s">
        <v>1157</v>
      </c>
      <c r="J38" s="1" t="s">
        <v>1158</v>
      </c>
      <c r="K38" s="1" t="s">
        <v>1152</v>
      </c>
      <c r="L38" s="1" t="s">
        <v>1159</v>
      </c>
      <c r="M38" s="1" t="s">
        <v>234</v>
      </c>
      <c r="N38" s="1" t="s">
        <v>387</v>
      </c>
      <c r="O38" s="1" t="s">
        <v>1182</v>
      </c>
      <c r="P38" s="1" t="s">
        <v>1183</v>
      </c>
      <c r="Q38" s="1" t="s">
        <v>228</v>
      </c>
      <c r="R38" s="1" t="s">
        <v>361</v>
      </c>
      <c r="S38" s="1" t="s">
        <v>331</v>
      </c>
      <c r="T38" s="1" t="s">
        <v>1184</v>
      </c>
      <c r="U38" s="1" t="s">
        <v>1185</v>
      </c>
      <c r="V38" s="1" t="s">
        <v>1186</v>
      </c>
      <c r="W38" s="1" t="s">
        <v>1190</v>
      </c>
      <c r="X38" s="12" t="s">
        <v>1188</v>
      </c>
      <c r="Y38" s="1" t="s">
        <v>1134</v>
      </c>
      <c r="Z38" s="12" t="s">
        <v>1189</v>
      </c>
      <c r="AA38" s="1" t="s">
        <v>193</v>
      </c>
      <c r="AB38" s="1" t="s">
        <v>1191</v>
      </c>
      <c r="AC38" s="1" t="s">
        <v>1192</v>
      </c>
      <c r="AD38" s="1" t="s">
        <v>199</v>
      </c>
      <c r="AE38" s="1" t="s">
        <v>200</v>
      </c>
      <c r="AF38" s="1" t="s">
        <v>201</v>
      </c>
      <c r="AG38" s="1" t="s">
        <v>202</v>
      </c>
      <c r="AH38" s="1" t="s">
        <v>1193</v>
      </c>
      <c r="AI38" s="1" t="s">
        <v>1194</v>
      </c>
      <c r="AJ38" s="1" t="s">
        <v>205</v>
      </c>
      <c r="AK38" s="1" t="s">
        <v>1170</v>
      </c>
      <c r="AL38" s="1" t="s">
        <v>207</v>
      </c>
      <c r="AM38" s="1" t="s">
        <v>208</v>
      </c>
      <c r="AN38" s="1" t="s">
        <v>209</v>
      </c>
      <c r="AO38" s="1" t="s">
        <v>173</v>
      </c>
      <c r="AP38" s="1" t="s">
        <v>174</v>
      </c>
      <c r="AQ38" s="1" t="s">
        <v>172</v>
      </c>
      <c r="AR38" s="1" t="s">
        <v>172</v>
      </c>
      <c r="AS38" s="1" t="s">
        <v>1558</v>
      </c>
      <c r="AT38" s="1" t="s">
        <v>1559</v>
      </c>
      <c r="AU38" s="1" t="s">
        <v>562</v>
      </c>
      <c r="AV38" s="1" t="s">
        <v>562</v>
      </c>
      <c r="AW38" s="1" t="s">
        <v>562</v>
      </c>
    </row>
    <row r="39" customFormat="false" ht="41.25" hidden="false" customHeight="true" outlineLevel="0" collapsed="false">
      <c r="A39" s="1" t="s">
        <v>1195</v>
      </c>
      <c r="B39" s="1" t="s">
        <v>1106</v>
      </c>
      <c r="C39" s="1" t="s">
        <v>1117</v>
      </c>
      <c r="D39" s="1" t="s">
        <v>212</v>
      </c>
      <c r="E39" s="1" t="s">
        <v>1196</v>
      </c>
      <c r="F39" s="1" t="s">
        <v>1197</v>
      </c>
      <c r="G39" s="1" t="s">
        <v>1209</v>
      </c>
      <c r="H39" s="1" t="s">
        <v>1210</v>
      </c>
      <c r="I39" s="1" t="s">
        <v>1211</v>
      </c>
      <c r="J39" s="1" t="s">
        <v>1212</v>
      </c>
      <c r="K39" s="1" t="s">
        <v>1127</v>
      </c>
      <c r="L39" s="1" t="s">
        <v>1128</v>
      </c>
      <c r="M39" s="1" t="s">
        <v>234</v>
      </c>
      <c r="N39" s="1" t="s">
        <v>295</v>
      </c>
      <c r="O39" s="1" t="s">
        <v>1207</v>
      </c>
      <c r="P39" s="1" t="s">
        <v>1208</v>
      </c>
      <c r="Q39" s="1" t="s">
        <v>1122</v>
      </c>
      <c r="R39" s="1" t="s">
        <v>361</v>
      </c>
      <c r="S39" s="1" t="s">
        <v>230</v>
      </c>
      <c r="T39" s="1" t="s">
        <v>1213</v>
      </c>
      <c r="U39" s="1" t="s">
        <v>1214</v>
      </c>
      <c r="V39" s="1" t="s">
        <v>1215</v>
      </c>
      <c r="W39" s="1" t="s">
        <v>1219</v>
      </c>
      <c r="X39" s="12" t="s">
        <v>1217</v>
      </c>
      <c r="Y39" s="1" t="s">
        <v>1134</v>
      </c>
      <c r="Z39" s="12" t="s">
        <v>1218</v>
      </c>
      <c r="AA39" s="1" t="s">
        <v>193</v>
      </c>
      <c r="AB39" s="1" t="s">
        <v>1220</v>
      </c>
      <c r="AC39" s="1" t="s">
        <v>1221</v>
      </c>
      <c r="AD39" s="1" t="s">
        <v>199</v>
      </c>
      <c r="AE39" s="1" t="s">
        <v>200</v>
      </c>
      <c r="AF39" s="1" t="s">
        <v>201</v>
      </c>
      <c r="AG39" s="1" t="s">
        <v>202</v>
      </c>
      <c r="AH39" s="1" t="s">
        <v>1222</v>
      </c>
      <c r="AI39" s="1" t="s">
        <v>1223</v>
      </c>
      <c r="AJ39" s="1" t="s">
        <v>205</v>
      </c>
      <c r="AK39" s="1" t="s">
        <v>521</v>
      </c>
      <c r="AL39" s="1" t="s">
        <v>207</v>
      </c>
      <c r="AM39" s="1" t="s">
        <v>208</v>
      </c>
      <c r="AN39" s="1" t="s">
        <v>209</v>
      </c>
      <c r="AO39" s="1" t="s">
        <v>173</v>
      </c>
      <c r="AP39" s="1" t="s">
        <v>174</v>
      </c>
      <c r="AQ39" s="1" t="s">
        <v>172</v>
      </c>
      <c r="AR39" s="1" t="s">
        <v>172</v>
      </c>
      <c r="AS39" s="1" t="s">
        <v>1558</v>
      </c>
      <c r="AT39" s="1" t="s">
        <v>1559</v>
      </c>
      <c r="AU39" s="1" t="s">
        <v>172</v>
      </c>
      <c r="AV39" s="1" t="s">
        <v>562</v>
      </c>
      <c r="AW39" s="1" t="s">
        <v>562</v>
      </c>
    </row>
    <row r="40" customFormat="false" ht="41.25" hidden="false" customHeight="true" outlineLevel="0" collapsed="false">
      <c r="A40" s="1" t="s">
        <v>1224</v>
      </c>
      <c r="B40" s="1" t="s">
        <v>1106</v>
      </c>
      <c r="C40" s="1" t="s">
        <v>1117</v>
      </c>
      <c r="D40" s="1" t="s">
        <v>154</v>
      </c>
      <c r="E40" s="1" t="s">
        <v>1105</v>
      </c>
      <c r="F40" s="1" t="s">
        <v>1107</v>
      </c>
      <c r="G40" s="1" t="s">
        <v>1124</v>
      </c>
      <c r="H40" s="1" t="s">
        <v>1125</v>
      </c>
      <c r="I40" s="1" t="s">
        <v>1126</v>
      </c>
      <c r="J40" s="1" t="s">
        <v>1110</v>
      </c>
      <c r="K40" s="1" t="s">
        <v>1234</v>
      </c>
      <c r="L40" s="1" t="s">
        <v>1227</v>
      </c>
      <c r="M40" s="1" t="s">
        <v>184</v>
      </c>
      <c r="N40" s="1" t="s">
        <v>1236</v>
      </c>
      <c r="O40" s="1" t="s">
        <v>1237</v>
      </c>
      <c r="P40" s="1" t="s">
        <v>1238</v>
      </c>
      <c r="Q40" s="1" t="s">
        <v>228</v>
      </c>
      <c r="R40" s="1" t="s">
        <v>361</v>
      </c>
      <c r="S40" s="1" t="s">
        <v>180</v>
      </c>
      <c r="T40" s="1" t="s">
        <v>1240</v>
      </c>
      <c r="U40" s="1" t="s">
        <v>1241</v>
      </c>
      <c r="V40" s="1" t="s">
        <v>1242</v>
      </c>
      <c r="W40" s="1" t="s">
        <v>1246</v>
      </c>
      <c r="X40" s="12" t="s">
        <v>1244</v>
      </c>
      <c r="Y40" s="1" t="s">
        <v>1134</v>
      </c>
      <c r="Z40" s="12" t="s">
        <v>1245</v>
      </c>
      <c r="AA40" s="1" t="s">
        <v>193</v>
      </c>
      <c r="AB40" s="1" t="s">
        <v>1247</v>
      </c>
      <c r="AC40" s="1" t="s">
        <v>1248</v>
      </c>
      <c r="AD40" s="1" t="s">
        <v>199</v>
      </c>
      <c r="AE40" s="1" t="s">
        <v>200</v>
      </c>
      <c r="AF40" s="1" t="s">
        <v>201</v>
      </c>
      <c r="AG40" s="1" t="s">
        <v>202</v>
      </c>
      <c r="AH40" s="1" t="s">
        <v>1249</v>
      </c>
      <c r="AI40" s="1" t="s">
        <v>1250</v>
      </c>
      <c r="AJ40" s="1" t="s">
        <v>205</v>
      </c>
      <c r="AK40" s="1" t="s">
        <v>1170</v>
      </c>
      <c r="AL40" s="1" t="s">
        <v>207</v>
      </c>
      <c r="AM40" s="1" t="s">
        <v>208</v>
      </c>
      <c r="AN40" s="1" t="s">
        <v>209</v>
      </c>
      <c r="AO40" s="1" t="s">
        <v>173</v>
      </c>
      <c r="AP40" s="1" t="s">
        <v>174</v>
      </c>
      <c r="AQ40" s="1" t="s">
        <v>172</v>
      </c>
      <c r="AR40" s="1" t="s">
        <v>172</v>
      </c>
      <c r="AS40" s="1" t="s">
        <v>1558</v>
      </c>
      <c r="AT40" s="1" t="s">
        <v>1559</v>
      </c>
      <c r="AU40" s="1" t="s">
        <v>562</v>
      </c>
      <c r="AV40" s="1" t="s">
        <v>562</v>
      </c>
      <c r="AW40" s="1" t="s">
        <v>562</v>
      </c>
    </row>
    <row r="41" customFormat="false" ht="41.25" hidden="false" customHeight="true" outlineLevel="0" collapsed="false">
      <c r="A41" s="1" t="s">
        <v>1251</v>
      </c>
      <c r="B41" s="1" t="s">
        <v>1106</v>
      </c>
      <c r="C41" s="1" t="s">
        <v>1117</v>
      </c>
      <c r="D41" s="1" t="s">
        <v>154</v>
      </c>
      <c r="E41" s="1" t="s">
        <v>1142</v>
      </c>
      <c r="F41" s="1" t="s">
        <v>1252</v>
      </c>
      <c r="G41" s="1" t="s">
        <v>1253</v>
      </c>
      <c r="K41" s="1" t="s">
        <v>1262</v>
      </c>
      <c r="L41" s="1" t="s">
        <v>1255</v>
      </c>
      <c r="M41" s="1" t="s">
        <v>482</v>
      </c>
      <c r="N41" s="1" t="s">
        <v>1264</v>
      </c>
      <c r="O41" s="1" t="s">
        <v>1265</v>
      </c>
      <c r="P41" s="1" t="s">
        <v>1266</v>
      </c>
      <c r="Q41" s="1" t="s">
        <v>228</v>
      </c>
      <c r="R41" s="1" t="s">
        <v>1267</v>
      </c>
      <c r="S41" s="1" t="s">
        <v>1268</v>
      </c>
      <c r="T41" s="1" t="s">
        <v>1269</v>
      </c>
      <c r="U41" s="1" t="s">
        <v>1270</v>
      </c>
      <c r="V41" s="1" t="s">
        <v>1271</v>
      </c>
      <c r="W41" s="1" t="s">
        <v>1275</v>
      </c>
      <c r="X41" s="12" t="s">
        <v>1273</v>
      </c>
      <c r="Y41" s="1" t="s">
        <v>1134</v>
      </c>
      <c r="Z41" s="12" t="s">
        <v>1274</v>
      </c>
      <c r="AA41" s="1" t="s">
        <v>193</v>
      </c>
      <c r="AB41" s="1" t="s">
        <v>1276</v>
      </c>
      <c r="AC41" s="1" t="s">
        <v>1277</v>
      </c>
      <c r="AD41" s="1" t="s">
        <v>199</v>
      </c>
      <c r="AE41" s="1" t="s">
        <v>200</v>
      </c>
      <c r="AF41" s="1" t="s">
        <v>201</v>
      </c>
      <c r="AG41" s="1" t="s">
        <v>202</v>
      </c>
      <c r="AH41" s="1" t="s">
        <v>1278</v>
      </c>
      <c r="AI41" s="1" t="s">
        <v>1279</v>
      </c>
      <c r="AJ41" s="1" t="s">
        <v>205</v>
      </c>
      <c r="AK41" s="1" t="s">
        <v>521</v>
      </c>
      <c r="AL41" s="1" t="s">
        <v>207</v>
      </c>
      <c r="AM41" s="1" t="s">
        <v>208</v>
      </c>
      <c r="AN41" s="1" t="s">
        <v>209</v>
      </c>
      <c r="AO41" s="1" t="s">
        <v>173</v>
      </c>
      <c r="AP41" s="1" t="s">
        <v>174</v>
      </c>
      <c r="AQ41" s="1" t="s">
        <v>172</v>
      </c>
      <c r="AR41" s="1" t="s">
        <v>172</v>
      </c>
      <c r="AS41" s="1" t="s">
        <v>1558</v>
      </c>
      <c r="AT41" s="1" t="s">
        <v>1559</v>
      </c>
      <c r="AU41" s="1" t="s">
        <v>172</v>
      </c>
      <c r="AV41" s="1" t="s">
        <v>172</v>
      </c>
      <c r="AW41" s="1" t="s">
        <v>562</v>
      </c>
      <c r="AX41" s="1" t="s">
        <v>1569</v>
      </c>
      <c r="AY41" s="1" t="s">
        <v>1561</v>
      </c>
    </row>
    <row r="42" customFormat="false" ht="41.25" hidden="false" customHeight="true" outlineLevel="0" collapsed="false">
      <c r="A42" s="1" t="s">
        <v>1280</v>
      </c>
      <c r="B42" s="1" t="s">
        <v>1106</v>
      </c>
      <c r="C42" s="1" t="s">
        <v>1117</v>
      </c>
      <c r="D42" s="1" t="s">
        <v>212</v>
      </c>
      <c r="E42" s="1" t="s">
        <v>1196</v>
      </c>
      <c r="F42" s="1" t="s">
        <v>1281</v>
      </c>
      <c r="G42" s="1" t="s">
        <v>1282</v>
      </c>
      <c r="K42" s="1" t="s">
        <v>1290</v>
      </c>
      <c r="L42" s="1" t="s">
        <v>1284</v>
      </c>
      <c r="M42" s="1" t="s">
        <v>482</v>
      </c>
      <c r="N42" s="1" t="s">
        <v>603</v>
      </c>
      <c r="O42" s="1" t="s">
        <v>1292</v>
      </c>
      <c r="P42" s="1" t="s">
        <v>1293</v>
      </c>
      <c r="Q42" s="1" t="s">
        <v>228</v>
      </c>
      <c r="R42" s="1" t="s">
        <v>361</v>
      </c>
      <c r="S42" s="1" t="s">
        <v>230</v>
      </c>
      <c r="T42" s="1" t="s">
        <v>1294</v>
      </c>
      <c r="U42" s="1" t="s">
        <v>1295</v>
      </c>
      <c r="V42" s="1" t="s">
        <v>1296</v>
      </c>
      <c r="W42" s="1" t="s">
        <v>1300</v>
      </c>
      <c r="X42" s="12" t="s">
        <v>1298</v>
      </c>
      <c r="Y42" s="1" t="s">
        <v>1134</v>
      </c>
      <c r="Z42" s="12" t="s">
        <v>1299</v>
      </c>
      <c r="AA42" s="1" t="s">
        <v>193</v>
      </c>
      <c r="AB42" s="1" t="s">
        <v>1301</v>
      </c>
      <c r="AC42" s="1" t="s">
        <v>1302</v>
      </c>
      <c r="AD42" s="1" t="s">
        <v>199</v>
      </c>
      <c r="AE42" s="1" t="s">
        <v>200</v>
      </c>
      <c r="AF42" s="1" t="s">
        <v>201</v>
      </c>
      <c r="AG42" s="1" t="s">
        <v>202</v>
      </c>
      <c r="AH42" s="1" t="s">
        <v>1303</v>
      </c>
      <c r="AI42" s="1" t="s">
        <v>1001</v>
      </c>
      <c r="AJ42" s="1" t="s">
        <v>205</v>
      </c>
      <c r="AK42" s="1" t="s">
        <v>314</v>
      </c>
      <c r="AL42" s="1" t="s">
        <v>207</v>
      </c>
      <c r="AM42" s="1" t="s">
        <v>208</v>
      </c>
      <c r="AN42" s="1" t="s">
        <v>209</v>
      </c>
      <c r="AO42" s="1" t="s">
        <v>173</v>
      </c>
      <c r="AP42" s="1" t="s">
        <v>174</v>
      </c>
      <c r="AQ42" s="1" t="s">
        <v>172</v>
      </c>
      <c r="AR42" s="1" t="s">
        <v>172</v>
      </c>
      <c r="AS42" s="1" t="s">
        <v>1558</v>
      </c>
      <c r="AT42" s="1" t="s">
        <v>1559</v>
      </c>
      <c r="AU42" s="1" t="s">
        <v>172</v>
      </c>
      <c r="AV42" s="1" t="s">
        <v>172</v>
      </c>
      <c r="AW42" s="1" t="s">
        <v>562</v>
      </c>
      <c r="AX42" s="1" t="s">
        <v>1570</v>
      </c>
      <c r="AY42" s="1" t="s">
        <v>1561</v>
      </c>
    </row>
    <row r="43" customFormat="false" ht="41.25" hidden="false" customHeight="true" outlineLevel="0" collapsed="false">
      <c r="A43" s="1" t="s">
        <v>1304</v>
      </c>
      <c r="B43" s="1" t="s">
        <v>1106</v>
      </c>
      <c r="C43" s="1" t="s">
        <v>1117</v>
      </c>
      <c r="D43" s="1" t="s">
        <v>316</v>
      </c>
      <c r="E43" s="1" t="s">
        <v>1142</v>
      </c>
      <c r="F43" s="1" t="s">
        <v>1107</v>
      </c>
      <c r="G43" s="1" t="s">
        <v>1317</v>
      </c>
      <c r="H43" s="1" t="s">
        <v>1318</v>
      </c>
      <c r="I43" s="1" t="s">
        <v>1319</v>
      </c>
      <c r="J43" s="1" t="s">
        <v>1320</v>
      </c>
      <c r="K43" s="1" t="s">
        <v>1313</v>
      </c>
      <c r="L43" s="1" t="s">
        <v>1307</v>
      </c>
      <c r="M43" s="1" t="s">
        <v>234</v>
      </c>
      <c r="N43" s="1" t="s">
        <v>295</v>
      </c>
      <c r="O43" s="1" t="s">
        <v>1315</v>
      </c>
      <c r="P43" s="1" t="s">
        <v>1316</v>
      </c>
      <c r="Q43" s="1" t="s">
        <v>228</v>
      </c>
      <c r="R43" s="1" t="s">
        <v>361</v>
      </c>
      <c r="S43" s="1" t="s">
        <v>331</v>
      </c>
      <c r="T43" s="1" t="s">
        <v>1321</v>
      </c>
      <c r="U43" s="1" t="s">
        <v>1322</v>
      </c>
      <c r="V43" s="1" t="s">
        <v>1323</v>
      </c>
      <c r="W43" s="1" t="s">
        <v>1327</v>
      </c>
      <c r="X43" s="12" t="s">
        <v>1325</v>
      </c>
      <c r="Y43" s="1" t="s">
        <v>1134</v>
      </c>
      <c r="Z43" s="12" t="s">
        <v>1326</v>
      </c>
      <c r="AA43" s="1" t="s">
        <v>193</v>
      </c>
      <c r="AB43" s="1" t="s">
        <v>1328</v>
      </c>
      <c r="AC43" s="1" t="s">
        <v>1329</v>
      </c>
      <c r="AD43" s="1" t="s">
        <v>199</v>
      </c>
      <c r="AE43" s="1" t="s">
        <v>200</v>
      </c>
      <c r="AF43" s="1" t="s">
        <v>201</v>
      </c>
      <c r="AG43" s="1" t="s">
        <v>202</v>
      </c>
      <c r="AH43" s="1" t="s">
        <v>1330</v>
      </c>
      <c r="AI43" s="1" t="s">
        <v>1331</v>
      </c>
      <c r="AJ43" s="1" t="s">
        <v>205</v>
      </c>
      <c r="AK43" s="1" t="s">
        <v>521</v>
      </c>
      <c r="AL43" s="1" t="s">
        <v>207</v>
      </c>
      <c r="AM43" s="1" t="s">
        <v>208</v>
      </c>
      <c r="AN43" s="1" t="s">
        <v>209</v>
      </c>
      <c r="AO43" s="1" t="s">
        <v>173</v>
      </c>
      <c r="AP43" s="1" t="s">
        <v>174</v>
      </c>
      <c r="AQ43" s="1" t="s">
        <v>172</v>
      </c>
      <c r="AR43" s="1" t="s">
        <v>172</v>
      </c>
      <c r="AS43" s="1" t="s">
        <v>1558</v>
      </c>
      <c r="AT43" s="1" t="s">
        <v>1559</v>
      </c>
      <c r="AU43" s="1" t="s">
        <v>562</v>
      </c>
      <c r="AV43" s="1" t="s">
        <v>562</v>
      </c>
      <c r="AW43" s="1" t="s">
        <v>562</v>
      </c>
    </row>
    <row r="44" customFormat="false" ht="41.25" hidden="false" customHeight="true" outlineLevel="0" collapsed="false">
      <c r="A44" s="1" t="s">
        <v>1332</v>
      </c>
      <c r="B44" s="1" t="s">
        <v>1106</v>
      </c>
      <c r="C44" s="1" t="s">
        <v>1117</v>
      </c>
      <c r="D44" s="1" t="s">
        <v>212</v>
      </c>
      <c r="E44" s="1" t="s">
        <v>1142</v>
      </c>
      <c r="F44" s="1" t="s">
        <v>1172</v>
      </c>
      <c r="G44" s="1" t="s">
        <v>1346</v>
      </c>
      <c r="H44" s="1" t="s">
        <v>1347</v>
      </c>
      <c r="I44" s="1" t="s">
        <v>1348</v>
      </c>
      <c r="J44" s="1" t="s">
        <v>1349</v>
      </c>
      <c r="K44" s="1" t="s">
        <v>1341</v>
      </c>
      <c r="L44" s="1" t="s">
        <v>1335</v>
      </c>
      <c r="M44" s="1" t="s">
        <v>234</v>
      </c>
      <c r="N44" s="1" t="s">
        <v>1343</v>
      </c>
      <c r="O44" s="1" t="s">
        <v>1344</v>
      </c>
      <c r="P44" s="1" t="s">
        <v>1345</v>
      </c>
      <c r="Q44" s="1" t="s">
        <v>228</v>
      </c>
      <c r="R44" s="1" t="s">
        <v>361</v>
      </c>
      <c r="S44" s="1" t="s">
        <v>230</v>
      </c>
      <c r="T44" s="1" t="s">
        <v>1350</v>
      </c>
      <c r="U44" s="1" t="s">
        <v>1351</v>
      </c>
      <c r="V44" s="1" t="s">
        <v>1352</v>
      </c>
      <c r="W44" s="1" t="s">
        <v>1356</v>
      </c>
      <c r="X44" s="12" t="s">
        <v>1354</v>
      </c>
      <c r="Y44" s="1" t="s">
        <v>1134</v>
      </c>
      <c r="Z44" s="12" t="s">
        <v>1355</v>
      </c>
      <c r="AA44" s="1" t="s">
        <v>193</v>
      </c>
      <c r="AB44" s="1" t="s">
        <v>1357</v>
      </c>
      <c r="AC44" s="1" t="s">
        <v>1358</v>
      </c>
      <c r="AD44" s="1" t="s">
        <v>199</v>
      </c>
      <c r="AE44" s="1" t="s">
        <v>200</v>
      </c>
      <c r="AF44" s="1" t="s">
        <v>201</v>
      </c>
      <c r="AG44" s="1" t="s">
        <v>202</v>
      </c>
      <c r="AH44" s="1" t="s">
        <v>1359</v>
      </c>
      <c r="AI44" s="1" t="s">
        <v>1360</v>
      </c>
      <c r="AJ44" s="1" t="s">
        <v>205</v>
      </c>
      <c r="AK44" s="1" t="s">
        <v>1170</v>
      </c>
      <c r="AL44" s="1" t="s">
        <v>207</v>
      </c>
      <c r="AM44" s="1" t="s">
        <v>208</v>
      </c>
      <c r="AN44" s="1" t="s">
        <v>209</v>
      </c>
      <c r="AO44" s="1" t="s">
        <v>173</v>
      </c>
      <c r="AP44" s="1" t="s">
        <v>174</v>
      </c>
      <c r="AQ44" s="1" t="s">
        <v>172</v>
      </c>
      <c r="AR44" s="1" t="s">
        <v>172</v>
      </c>
      <c r="AS44" s="1" t="s">
        <v>1558</v>
      </c>
      <c r="AT44" s="1" t="s">
        <v>1559</v>
      </c>
      <c r="AU44" s="1" t="s">
        <v>172</v>
      </c>
      <c r="AV44" s="1" t="s">
        <v>562</v>
      </c>
      <c r="AW44" s="1" t="s">
        <v>562</v>
      </c>
    </row>
    <row r="45" customFormat="false" ht="41.25" hidden="false" customHeight="true" outlineLevel="0" collapsed="false">
      <c r="A45" s="1" t="s">
        <v>1361</v>
      </c>
      <c r="B45" s="1" t="s">
        <v>1106</v>
      </c>
      <c r="C45" s="1" t="s">
        <v>1117</v>
      </c>
      <c r="D45" s="1" t="s">
        <v>212</v>
      </c>
      <c r="E45" s="1" t="s">
        <v>1196</v>
      </c>
      <c r="F45" s="1" t="s">
        <v>1172</v>
      </c>
      <c r="G45" s="1" t="s">
        <v>1362</v>
      </c>
      <c r="K45" s="1" t="s">
        <v>1370</v>
      </c>
      <c r="L45" s="1" t="s">
        <v>1364</v>
      </c>
      <c r="M45" s="1" t="s">
        <v>482</v>
      </c>
      <c r="N45" s="1" t="s">
        <v>476</v>
      </c>
      <c r="O45" s="1" t="s">
        <v>1372</v>
      </c>
      <c r="P45" s="1" t="s">
        <v>1373</v>
      </c>
      <c r="Q45" s="1" t="s">
        <v>1374</v>
      </c>
      <c r="R45" s="1" t="s">
        <v>1375</v>
      </c>
      <c r="S45" s="1" t="s">
        <v>230</v>
      </c>
      <c r="T45" s="1" t="s">
        <v>1376</v>
      </c>
      <c r="U45" s="1" t="s">
        <v>1377</v>
      </c>
      <c r="V45" s="1" t="s">
        <v>1378</v>
      </c>
      <c r="W45" s="1" t="s">
        <v>1382</v>
      </c>
      <c r="X45" s="12" t="s">
        <v>1380</v>
      </c>
      <c r="Y45" s="1" t="s">
        <v>1134</v>
      </c>
      <c r="Z45" s="12" t="s">
        <v>1381</v>
      </c>
      <c r="AA45" s="1" t="s">
        <v>193</v>
      </c>
      <c r="AB45" s="1" t="s">
        <v>1383</v>
      </c>
      <c r="AC45" s="1" t="s">
        <v>1384</v>
      </c>
      <c r="AD45" s="1" t="s">
        <v>199</v>
      </c>
      <c r="AE45" s="1" t="s">
        <v>200</v>
      </c>
      <c r="AF45" s="1" t="s">
        <v>201</v>
      </c>
      <c r="AG45" s="1" t="s">
        <v>202</v>
      </c>
      <c r="AH45" s="1" t="s">
        <v>1385</v>
      </c>
      <c r="AI45" s="1" t="s">
        <v>1386</v>
      </c>
      <c r="AJ45" s="1" t="s">
        <v>205</v>
      </c>
      <c r="AK45" s="1" t="s">
        <v>314</v>
      </c>
      <c r="AL45" s="1" t="s">
        <v>207</v>
      </c>
      <c r="AM45" s="1" t="s">
        <v>208</v>
      </c>
      <c r="AN45" s="1" t="s">
        <v>209</v>
      </c>
      <c r="AO45" s="1" t="s">
        <v>173</v>
      </c>
      <c r="AP45" s="1" t="s">
        <v>174</v>
      </c>
      <c r="AQ45" s="1" t="s">
        <v>172</v>
      </c>
      <c r="AR45" s="1" t="s">
        <v>172</v>
      </c>
      <c r="AS45" s="1" t="s">
        <v>1558</v>
      </c>
      <c r="AT45" s="1" t="s">
        <v>1559</v>
      </c>
      <c r="AU45" s="1" t="s">
        <v>172</v>
      </c>
      <c r="AV45" s="1" t="s">
        <v>172</v>
      </c>
      <c r="AW45" s="1" t="s">
        <v>562</v>
      </c>
      <c r="AX45" s="1" t="s">
        <v>1571</v>
      </c>
      <c r="AY45" s="1" t="s">
        <v>1561</v>
      </c>
    </row>
    <row r="46" customFormat="false" ht="41.25" hidden="false" customHeight="true" outlineLevel="0" collapsed="false">
      <c r="A46" s="1" t="s">
        <v>1387</v>
      </c>
      <c r="B46" s="1" t="s">
        <v>1106</v>
      </c>
      <c r="C46" s="1" t="s">
        <v>1117</v>
      </c>
      <c r="D46" s="1" t="s">
        <v>154</v>
      </c>
      <c r="E46" s="1" t="s">
        <v>1142</v>
      </c>
      <c r="F46" s="1" t="s">
        <v>1172</v>
      </c>
      <c r="G46" s="1" t="s">
        <v>1388</v>
      </c>
      <c r="H46" s="1" t="s">
        <v>1396</v>
      </c>
      <c r="I46" s="1" t="s">
        <v>1397</v>
      </c>
      <c r="J46" s="1" t="s">
        <v>1398</v>
      </c>
      <c r="K46" s="1" t="s">
        <v>1127</v>
      </c>
      <c r="L46" s="1" t="s">
        <v>1128</v>
      </c>
      <c r="M46" s="1" t="s">
        <v>234</v>
      </c>
      <c r="N46" s="1" t="s">
        <v>295</v>
      </c>
      <c r="O46" s="1" t="s">
        <v>1389</v>
      </c>
      <c r="P46" s="1" t="s">
        <v>1395</v>
      </c>
      <c r="Q46" s="1" t="s">
        <v>228</v>
      </c>
      <c r="R46" s="1" t="s">
        <v>361</v>
      </c>
      <c r="S46" s="1" t="s">
        <v>230</v>
      </c>
      <c r="T46" s="1" t="s">
        <v>1399</v>
      </c>
      <c r="U46" s="1" t="s">
        <v>1400</v>
      </c>
      <c r="V46" s="1" t="s">
        <v>1401</v>
      </c>
      <c r="W46" s="1" t="s">
        <v>1402</v>
      </c>
      <c r="X46" s="12" t="s">
        <v>1392</v>
      </c>
      <c r="Y46" s="1" t="s">
        <v>1134</v>
      </c>
      <c r="Z46" s="12" t="s">
        <v>1393</v>
      </c>
      <c r="AA46" s="1" t="s">
        <v>193</v>
      </c>
      <c r="AB46" s="1" t="s">
        <v>1403</v>
      </c>
      <c r="AC46" s="1" t="s">
        <v>1404</v>
      </c>
      <c r="AD46" s="1" t="s">
        <v>199</v>
      </c>
      <c r="AE46" s="1" t="s">
        <v>200</v>
      </c>
      <c r="AF46" s="1" t="s">
        <v>201</v>
      </c>
      <c r="AG46" s="1" t="s">
        <v>202</v>
      </c>
      <c r="AH46" s="1" t="s">
        <v>1405</v>
      </c>
      <c r="AI46" s="1" t="s">
        <v>1406</v>
      </c>
      <c r="AJ46" s="1" t="s">
        <v>205</v>
      </c>
      <c r="AK46" s="1" t="s">
        <v>521</v>
      </c>
      <c r="AL46" s="1" t="s">
        <v>207</v>
      </c>
      <c r="AM46" s="1" t="s">
        <v>208</v>
      </c>
      <c r="AN46" s="1" t="s">
        <v>209</v>
      </c>
      <c r="AO46" s="1" t="s">
        <v>173</v>
      </c>
      <c r="AP46" s="1" t="s">
        <v>174</v>
      </c>
      <c r="AQ46" s="1" t="s">
        <v>562</v>
      </c>
      <c r="AR46" s="1" t="s">
        <v>172</v>
      </c>
      <c r="AS46" s="1" t="s">
        <v>1558</v>
      </c>
      <c r="AT46" s="1" t="s">
        <v>1559</v>
      </c>
      <c r="AU46" s="1" t="s">
        <v>172</v>
      </c>
      <c r="AV46" s="1" t="s">
        <v>562</v>
      </c>
      <c r="AW46" s="1" t="s">
        <v>562</v>
      </c>
    </row>
    <row r="47" customFormat="false" ht="41.25" hidden="false" customHeight="true" outlineLevel="0" collapsed="false">
      <c r="A47" s="1" t="s">
        <v>1407</v>
      </c>
      <c r="B47" s="1" t="s">
        <v>1106</v>
      </c>
      <c r="C47" s="1" t="s">
        <v>1117</v>
      </c>
      <c r="D47" s="1" t="s">
        <v>212</v>
      </c>
      <c r="E47" s="1" t="s">
        <v>1142</v>
      </c>
      <c r="F47" s="1" t="s">
        <v>1252</v>
      </c>
      <c r="G47" s="1" t="s">
        <v>1408</v>
      </c>
      <c r="H47" s="1" t="s">
        <v>1417</v>
      </c>
      <c r="I47" s="1" t="s">
        <v>1418</v>
      </c>
      <c r="J47" s="1" t="s">
        <v>1419</v>
      </c>
      <c r="K47" s="1" t="s">
        <v>1290</v>
      </c>
      <c r="L47" s="1" t="s">
        <v>1284</v>
      </c>
      <c r="M47" s="1" t="s">
        <v>234</v>
      </c>
      <c r="N47" s="1" t="s">
        <v>1415</v>
      </c>
      <c r="O47" s="1" t="s">
        <v>1409</v>
      </c>
      <c r="P47" s="1" t="s">
        <v>1416</v>
      </c>
      <c r="Q47" s="1" t="s">
        <v>228</v>
      </c>
      <c r="R47" s="1" t="s">
        <v>361</v>
      </c>
      <c r="S47" s="1" t="s">
        <v>331</v>
      </c>
      <c r="T47" s="1" t="s">
        <v>1420</v>
      </c>
      <c r="U47" s="1" t="s">
        <v>1421</v>
      </c>
      <c r="V47" s="1" t="s">
        <v>1422</v>
      </c>
      <c r="W47" s="1" t="s">
        <v>1423</v>
      </c>
      <c r="X47" s="12" t="s">
        <v>1412</v>
      </c>
      <c r="Y47" s="1" t="s">
        <v>1134</v>
      </c>
      <c r="Z47" s="12" t="s">
        <v>1413</v>
      </c>
      <c r="AA47" s="1" t="s">
        <v>193</v>
      </c>
      <c r="AB47" s="1" t="s">
        <v>1424</v>
      </c>
      <c r="AC47" s="1" t="s">
        <v>1425</v>
      </c>
      <c r="AD47" s="1" t="s">
        <v>199</v>
      </c>
      <c r="AE47" s="1" t="s">
        <v>200</v>
      </c>
      <c r="AF47" s="1" t="s">
        <v>201</v>
      </c>
      <c r="AG47" s="1" t="s">
        <v>202</v>
      </c>
      <c r="AH47" s="1" t="s">
        <v>1426</v>
      </c>
      <c r="AI47" s="1" t="s">
        <v>1427</v>
      </c>
      <c r="AJ47" s="1" t="s">
        <v>205</v>
      </c>
      <c r="AK47" s="1" t="s">
        <v>314</v>
      </c>
      <c r="AL47" s="1" t="s">
        <v>207</v>
      </c>
      <c r="AM47" s="1" t="s">
        <v>208</v>
      </c>
      <c r="AN47" s="1" t="s">
        <v>209</v>
      </c>
      <c r="AO47" s="1" t="s">
        <v>173</v>
      </c>
      <c r="AP47" s="1" t="s">
        <v>174</v>
      </c>
      <c r="AQ47" s="1" t="s">
        <v>562</v>
      </c>
      <c r="AR47" s="1" t="s">
        <v>172</v>
      </c>
      <c r="AS47" s="1" t="s">
        <v>1558</v>
      </c>
      <c r="AT47" s="1" t="s">
        <v>1559</v>
      </c>
      <c r="AU47" s="1" t="s">
        <v>172</v>
      </c>
      <c r="AV47" s="1" t="s">
        <v>562</v>
      </c>
      <c r="AW47" s="1" t="s">
        <v>562</v>
      </c>
    </row>
    <row r="48" customFormat="false" ht="41.25" hidden="false" customHeight="true" outlineLevel="0" collapsed="false">
      <c r="A48" s="1" t="s">
        <v>1428</v>
      </c>
      <c r="B48" s="1" t="s">
        <v>1106</v>
      </c>
      <c r="C48" s="1" t="s">
        <v>1117</v>
      </c>
      <c r="D48" s="1" t="s">
        <v>316</v>
      </c>
      <c r="E48" s="1" t="s">
        <v>1196</v>
      </c>
      <c r="F48" s="1" t="s">
        <v>1143</v>
      </c>
      <c r="G48" s="1" t="s">
        <v>1408</v>
      </c>
      <c r="H48" s="1" t="s">
        <v>1438</v>
      </c>
      <c r="I48" s="1" t="s">
        <v>1439</v>
      </c>
      <c r="J48" s="1" t="s">
        <v>1440</v>
      </c>
      <c r="K48" s="1" t="s">
        <v>1127</v>
      </c>
      <c r="L48" s="1" t="s">
        <v>1128</v>
      </c>
      <c r="M48" s="1" t="s">
        <v>184</v>
      </c>
      <c r="N48" s="1" t="s">
        <v>295</v>
      </c>
      <c r="O48" s="1" t="s">
        <v>1429</v>
      </c>
      <c r="P48" s="1" t="s">
        <v>1436</v>
      </c>
      <c r="Q48" s="1" t="s">
        <v>228</v>
      </c>
      <c r="R48" s="1" t="s">
        <v>1437</v>
      </c>
      <c r="S48" s="1" t="s">
        <v>180</v>
      </c>
      <c r="T48" s="1" t="s">
        <v>1442</v>
      </c>
      <c r="U48" s="1" t="s">
        <v>1443</v>
      </c>
      <c r="V48" s="1" t="s">
        <v>1444</v>
      </c>
      <c r="W48" s="1" t="s">
        <v>1445</v>
      </c>
      <c r="X48" s="12" t="s">
        <v>1432</v>
      </c>
      <c r="Y48" s="1" t="s">
        <v>1134</v>
      </c>
      <c r="Z48" s="12" t="s">
        <v>1433</v>
      </c>
      <c r="AA48" s="1" t="s">
        <v>193</v>
      </c>
      <c r="AB48" s="1" t="s">
        <v>1446</v>
      </c>
      <c r="AC48" s="1" t="s">
        <v>1447</v>
      </c>
      <c r="AD48" s="1" t="s">
        <v>199</v>
      </c>
      <c r="AE48" s="1" t="s">
        <v>200</v>
      </c>
      <c r="AF48" s="1" t="s">
        <v>201</v>
      </c>
      <c r="AG48" s="1" t="s">
        <v>202</v>
      </c>
      <c r="AH48" s="1" t="s">
        <v>1448</v>
      </c>
      <c r="AI48" s="1" t="s">
        <v>1449</v>
      </c>
      <c r="AJ48" s="1" t="s">
        <v>205</v>
      </c>
      <c r="AK48" s="1" t="s">
        <v>521</v>
      </c>
      <c r="AL48" s="1" t="s">
        <v>207</v>
      </c>
      <c r="AM48" s="1" t="s">
        <v>208</v>
      </c>
      <c r="AN48" s="1" t="s">
        <v>209</v>
      </c>
      <c r="AO48" s="1" t="s">
        <v>173</v>
      </c>
      <c r="AP48" s="1" t="s">
        <v>174</v>
      </c>
      <c r="AQ48" s="1" t="s">
        <v>562</v>
      </c>
      <c r="AR48" s="1" t="s">
        <v>172</v>
      </c>
      <c r="AS48" s="1" t="s">
        <v>1558</v>
      </c>
      <c r="AT48" s="1" t="s">
        <v>1559</v>
      </c>
      <c r="AU48" s="1" t="s">
        <v>172</v>
      </c>
      <c r="AV48" s="1" t="s">
        <v>562</v>
      </c>
      <c r="AW48" s="1" t="s">
        <v>562</v>
      </c>
    </row>
    <row r="49" customFormat="false" ht="41.25" hidden="false" customHeight="true" outlineLevel="0" collapsed="false">
      <c r="A49" s="1" t="s">
        <v>1450</v>
      </c>
      <c r="B49" s="1" t="s">
        <v>1106</v>
      </c>
      <c r="C49" s="1" t="s">
        <v>1117</v>
      </c>
      <c r="D49" s="1" t="s">
        <v>154</v>
      </c>
      <c r="E49" s="1" t="s">
        <v>1196</v>
      </c>
      <c r="F49" s="1" t="s">
        <v>1451</v>
      </c>
      <c r="G49" s="1" t="s">
        <v>1452</v>
      </c>
      <c r="H49" s="1" t="s">
        <v>1460</v>
      </c>
      <c r="I49" s="1" t="s">
        <v>1461</v>
      </c>
      <c r="J49" s="1" t="s">
        <v>1462</v>
      </c>
      <c r="K49" s="1" t="s">
        <v>1152</v>
      </c>
      <c r="L49" s="1" t="s">
        <v>1159</v>
      </c>
      <c r="M49" s="1" t="s">
        <v>234</v>
      </c>
      <c r="N49" s="1" t="s">
        <v>387</v>
      </c>
      <c r="O49" s="1" t="s">
        <v>1453</v>
      </c>
      <c r="P49" s="1" t="s">
        <v>1459</v>
      </c>
      <c r="Q49" s="1" t="s">
        <v>228</v>
      </c>
      <c r="R49" s="1" t="s">
        <v>479</v>
      </c>
      <c r="S49" s="1" t="s">
        <v>230</v>
      </c>
      <c r="T49" s="1" t="s">
        <v>1463</v>
      </c>
      <c r="U49" s="1" t="s">
        <v>1464</v>
      </c>
      <c r="V49" s="1" t="s">
        <v>1465</v>
      </c>
      <c r="W49" s="1" t="s">
        <v>1466</v>
      </c>
      <c r="X49" s="12" t="s">
        <v>1456</v>
      </c>
      <c r="Y49" s="1" t="s">
        <v>1134</v>
      </c>
      <c r="Z49" s="12" t="s">
        <v>1457</v>
      </c>
      <c r="AA49" s="1" t="s">
        <v>193</v>
      </c>
      <c r="AB49" s="1" t="s">
        <v>1467</v>
      </c>
      <c r="AC49" s="1" t="s">
        <v>1468</v>
      </c>
      <c r="AD49" s="1" t="s">
        <v>199</v>
      </c>
      <c r="AE49" s="1" t="s">
        <v>200</v>
      </c>
      <c r="AF49" s="1" t="s">
        <v>201</v>
      </c>
      <c r="AG49" s="1" t="s">
        <v>202</v>
      </c>
      <c r="AH49" s="1" t="s">
        <v>1405</v>
      </c>
      <c r="AI49" s="1" t="s">
        <v>1469</v>
      </c>
      <c r="AJ49" s="1" t="s">
        <v>205</v>
      </c>
      <c r="AK49" s="1" t="s">
        <v>1170</v>
      </c>
      <c r="AL49" s="1" t="s">
        <v>207</v>
      </c>
      <c r="AM49" s="1" t="s">
        <v>208</v>
      </c>
      <c r="AN49" s="1" t="s">
        <v>209</v>
      </c>
      <c r="AO49" s="1" t="s">
        <v>173</v>
      </c>
      <c r="AP49" s="1" t="s">
        <v>174</v>
      </c>
      <c r="AQ49" s="1" t="s">
        <v>562</v>
      </c>
      <c r="AR49" s="1" t="s">
        <v>172</v>
      </c>
      <c r="AS49" s="1" t="s">
        <v>1558</v>
      </c>
      <c r="AT49" s="1" t="s">
        <v>1559</v>
      </c>
      <c r="AU49" s="1" t="s">
        <v>172</v>
      </c>
      <c r="AV49" s="1" t="s">
        <v>562</v>
      </c>
      <c r="AW49" s="1" t="s">
        <v>562</v>
      </c>
    </row>
    <row r="50" customFormat="false" ht="41.25" hidden="false" customHeight="true" outlineLevel="0" collapsed="false">
      <c r="A50" s="1" t="s">
        <v>1470</v>
      </c>
      <c r="B50" s="1" t="s">
        <v>1106</v>
      </c>
      <c r="C50" s="1" t="s">
        <v>1117</v>
      </c>
      <c r="D50" s="1" t="s">
        <v>154</v>
      </c>
      <c r="E50" s="1" t="s">
        <v>730</v>
      </c>
      <c r="F50" s="1" t="s">
        <v>1281</v>
      </c>
      <c r="G50" s="1" t="s">
        <v>1317</v>
      </c>
      <c r="H50" s="1" t="s">
        <v>1478</v>
      </c>
      <c r="I50" s="1" t="s">
        <v>1479</v>
      </c>
      <c r="J50" s="1" t="s">
        <v>1480</v>
      </c>
      <c r="K50" s="1" t="s">
        <v>1313</v>
      </c>
      <c r="L50" s="1" t="s">
        <v>1307</v>
      </c>
      <c r="M50" s="1" t="s">
        <v>184</v>
      </c>
      <c r="N50" s="1" t="s">
        <v>1264</v>
      </c>
      <c r="O50" s="1" t="s">
        <v>1471</v>
      </c>
      <c r="P50" s="1" t="s">
        <v>1477</v>
      </c>
      <c r="Q50" s="1" t="s">
        <v>228</v>
      </c>
      <c r="R50" s="1" t="s">
        <v>479</v>
      </c>
      <c r="S50" s="1" t="s">
        <v>230</v>
      </c>
      <c r="T50" s="1" t="s">
        <v>1482</v>
      </c>
      <c r="U50" s="1" t="s">
        <v>1483</v>
      </c>
      <c r="V50" s="1" t="s">
        <v>1484</v>
      </c>
      <c r="W50" s="1" t="s">
        <v>1485</v>
      </c>
      <c r="X50" s="12" t="s">
        <v>1474</v>
      </c>
      <c r="Y50" s="1" t="s">
        <v>1134</v>
      </c>
      <c r="Z50" s="12" t="s">
        <v>1475</v>
      </c>
      <c r="AA50" s="1" t="s">
        <v>193</v>
      </c>
      <c r="AB50" s="1" t="s">
        <v>1486</v>
      </c>
      <c r="AC50" s="1" t="s">
        <v>1487</v>
      </c>
      <c r="AD50" s="1" t="s">
        <v>199</v>
      </c>
      <c r="AE50" s="1" t="s">
        <v>200</v>
      </c>
      <c r="AF50" s="1" t="s">
        <v>201</v>
      </c>
      <c r="AG50" s="1" t="s">
        <v>202</v>
      </c>
      <c r="AH50" s="1" t="s">
        <v>1488</v>
      </c>
      <c r="AI50" s="1" t="s">
        <v>1489</v>
      </c>
      <c r="AJ50" s="1" t="s">
        <v>205</v>
      </c>
      <c r="AK50" s="1" t="s">
        <v>521</v>
      </c>
      <c r="AL50" s="1" t="s">
        <v>207</v>
      </c>
      <c r="AM50" s="1" t="s">
        <v>208</v>
      </c>
      <c r="AN50" s="1" t="s">
        <v>209</v>
      </c>
      <c r="AO50" s="1" t="s">
        <v>173</v>
      </c>
      <c r="AP50" s="1" t="s">
        <v>174</v>
      </c>
      <c r="AQ50" s="1" t="s">
        <v>562</v>
      </c>
      <c r="AR50" s="1" t="s">
        <v>172</v>
      </c>
      <c r="AS50" s="1" t="s">
        <v>1558</v>
      </c>
      <c r="AT50" s="1" t="s">
        <v>1559</v>
      </c>
      <c r="AU50" s="1" t="s">
        <v>172</v>
      </c>
      <c r="AV50" s="1" t="s">
        <v>562</v>
      </c>
      <c r="AW50" s="1" t="s">
        <v>562</v>
      </c>
    </row>
    <row r="51" customFormat="false" ht="41.25" hidden="false" customHeight="true" outlineLevel="0" collapsed="false">
      <c r="A51" s="1" t="s">
        <v>1490</v>
      </c>
      <c r="B51" s="1" t="s">
        <v>1106</v>
      </c>
      <c r="C51" s="1" t="s">
        <v>1117</v>
      </c>
      <c r="D51" s="1" t="s">
        <v>154</v>
      </c>
      <c r="E51" s="1" t="s">
        <v>1196</v>
      </c>
      <c r="F51" s="1" t="s">
        <v>1143</v>
      </c>
      <c r="G51" s="1" t="s">
        <v>1572</v>
      </c>
      <c r="K51" s="1" t="s">
        <v>1262</v>
      </c>
      <c r="L51" s="1" t="s">
        <v>1255</v>
      </c>
      <c r="M51" s="1" t="s">
        <v>482</v>
      </c>
      <c r="N51" s="1" t="s">
        <v>1498</v>
      </c>
      <c r="O51" s="1" t="s">
        <v>1492</v>
      </c>
      <c r="P51" s="1" t="s">
        <v>1499</v>
      </c>
      <c r="Q51" s="1" t="s">
        <v>228</v>
      </c>
      <c r="R51" s="1" t="s">
        <v>479</v>
      </c>
      <c r="S51" s="1" t="s">
        <v>230</v>
      </c>
      <c r="T51" s="1" t="s">
        <v>1500</v>
      </c>
      <c r="U51" s="1" t="s">
        <v>1501</v>
      </c>
      <c r="V51" s="1" t="s">
        <v>1502</v>
      </c>
      <c r="W51" s="1" t="s">
        <v>1503</v>
      </c>
      <c r="X51" s="12" t="s">
        <v>1495</v>
      </c>
      <c r="Y51" s="1" t="s">
        <v>1134</v>
      </c>
      <c r="Z51" s="12" t="s">
        <v>1496</v>
      </c>
      <c r="AA51" s="1" t="s">
        <v>193</v>
      </c>
      <c r="AB51" s="1" t="s">
        <v>1504</v>
      </c>
      <c r="AC51" s="1" t="s">
        <v>1505</v>
      </c>
      <c r="AD51" s="1" t="s">
        <v>199</v>
      </c>
      <c r="AE51" s="1" t="s">
        <v>200</v>
      </c>
      <c r="AF51" s="1" t="s">
        <v>201</v>
      </c>
      <c r="AG51" s="1" t="s">
        <v>202</v>
      </c>
      <c r="AH51" s="1" t="s">
        <v>1506</v>
      </c>
      <c r="AI51" s="1" t="s">
        <v>1507</v>
      </c>
      <c r="AJ51" s="1" t="s">
        <v>205</v>
      </c>
      <c r="AK51" s="1" t="s">
        <v>521</v>
      </c>
      <c r="AL51" s="1" t="s">
        <v>207</v>
      </c>
      <c r="AM51" s="1" t="s">
        <v>208</v>
      </c>
      <c r="AN51" s="1" t="s">
        <v>209</v>
      </c>
      <c r="AO51" s="1" t="s">
        <v>173</v>
      </c>
      <c r="AP51" s="1" t="s">
        <v>174</v>
      </c>
      <c r="AQ51" s="1" t="s">
        <v>562</v>
      </c>
      <c r="AR51" s="1" t="s">
        <v>172</v>
      </c>
      <c r="AS51" s="1" t="s">
        <v>1558</v>
      </c>
      <c r="AT51" s="1" t="s">
        <v>1559</v>
      </c>
      <c r="AU51" s="1" t="s">
        <v>172</v>
      </c>
      <c r="AV51" s="1" t="s">
        <v>172</v>
      </c>
      <c r="AW51" s="1" t="s">
        <v>562</v>
      </c>
      <c r="AX51" s="1" t="s">
        <v>1573</v>
      </c>
      <c r="AY51" s="1" t="s">
        <v>1561</v>
      </c>
    </row>
  </sheetData>
  <autoFilter ref="A1:AY5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5"/>
    <col collapsed="false" customWidth="true" hidden="false" outlineLevel="0" max="2" min="2" style="1" width="42"/>
    <col collapsed="false" customWidth="true" hidden="false" outlineLevel="0" max="3" min="3" style="1" width="10"/>
    <col collapsed="false" customWidth="true" hidden="false" outlineLevel="0" max="4" min="4" style="1" width="100"/>
    <col collapsed="false" customWidth="true" hidden="false" outlineLevel="0" max="5" min="5" style="1" width="18"/>
  </cols>
  <sheetData>
    <row r="1" customFormat="false" ht="15" hidden="false" customHeight="true" outlineLevel="0" collapsed="false">
      <c r="A1" s="11" t="s">
        <v>1574</v>
      </c>
      <c r="B1" s="11" t="s">
        <v>1575</v>
      </c>
      <c r="C1" s="11" t="s">
        <v>1576</v>
      </c>
      <c r="D1" s="11" t="s">
        <v>1577</v>
      </c>
      <c r="E1" s="11" t="s">
        <v>1578</v>
      </c>
    </row>
    <row r="2" customFormat="false" ht="15" hidden="false" customHeight="true" outlineLevel="0" collapsed="false">
      <c r="A2" s="9" t="n">
        <v>1</v>
      </c>
      <c r="B2" s="9" t="s">
        <v>1579</v>
      </c>
      <c r="C2" s="9" t="s">
        <v>1580</v>
      </c>
      <c r="D2" s="9" t="s">
        <v>1581</v>
      </c>
      <c r="E2" s="9" t="s">
        <v>1582</v>
      </c>
    </row>
    <row r="3" customFormat="false" ht="15" hidden="false" customHeight="true" outlineLevel="0" collapsed="false">
      <c r="A3" s="9" t="n">
        <v>2</v>
      </c>
      <c r="B3" s="9" t="s">
        <v>1583</v>
      </c>
      <c r="C3" s="9" t="s">
        <v>1580</v>
      </c>
      <c r="D3" s="9" t="s">
        <v>1584</v>
      </c>
      <c r="E3" s="9" t="s">
        <v>1582</v>
      </c>
    </row>
    <row r="4" customFormat="false" ht="15" hidden="false" customHeight="true" outlineLevel="0" collapsed="false">
      <c r="A4" s="9" t="n">
        <v>3</v>
      </c>
      <c r="B4" s="9" t="s">
        <v>1585</v>
      </c>
      <c r="C4" s="9" t="s">
        <v>1580</v>
      </c>
      <c r="D4" s="9" t="s">
        <v>1586</v>
      </c>
      <c r="E4" s="9" t="s">
        <v>1587</v>
      </c>
    </row>
    <row r="5" customFormat="false" ht="27.75" hidden="false" customHeight="true" outlineLevel="0" collapsed="false">
      <c r="A5" s="9" t="n">
        <v>4</v>
      </c>
      <c r="B5" s="9" t="s">
        <v>1588</v>
      </c>
      <c r="C5" s="9" t="s">
        <v>1589</v>
      </c>
      <c r="D5" s="9" t="s">
        <v>1590</v>
      </c>
      <c r="E5" s="9" t="s">
        <v>1591</v>
      </c>
    </row>
    <row r="6" customFormat="false" ht="27.75" hidden="false" customHeight="true" outlineLevel="0" collapsed="false">
      <c r="A6" s="9" t="n">
        <v>5</v>
      </c>
      <c r="B6" s="9" t="s">
        <v>1592</v>
      </c>
      <c r="C6" s="9" t="s">
        <v>1589</v>
      </c>
      <c r="D6" s="9" t="s">
        <v>1593</v>
      </c>
      <c r="E6" s="9" t="s">
        <v>1594</v>
      </c>
    </row>
    <row r="7" customFormat="false" ht="27.75" hidden="false" customHeight="true" outlineLevel="0" collapsed="false">
      <c r="A7" s="9" t="n">
        <v>6</v>
      </c>
      <c r="B7" s="9" t="s">
        <v>1595</v>
      </c>
      <c r="C7" s="9" t="s">
        <v>1596</v>
      </c>
      <c r="D7" s="9" t="s">
        <v>1597</v>
      </c>
      <c r="E7" s="9" t="s">
        <v>1598</v>
      </c>
    </row>
    <row r="8" customFormat="false" ht="27.75" hidden="false" customHeight="true" outlineLevel="0" collapsed="false">
      <c r="A8" s="9" t="n">
        <v>7</v>
      </c>
      <c r="B8" s="9" t="s">
        <v>1599</v>
      </c>
      <c r="C8" s="9" t="s">
        <v>1580</v>
      </c>
      <c r="D8" s="9" t="s">
        <v>1600</v>
      </c>
      <c r="E8" s="9" t="s">
        <v>1582</v>
      </c>
    </row>
    <row r="9" customFormat="false" ht="27.75" hidden="false" customHeight="true" outlineLevel="0" collapsed="false">
      <c r="A9" s="9" t="n">
        <v>8</v>
      </c>
      <c r="B9" s="9" t="s">
        <v>1601</v>
      </c>
      <c r="C9" s="9" t="s">
        <v>1602</v>
      </c>
      <c r="D9" s="9" t="s">
        <v>1603</v>
      </c>
      <c r="E9" s="9" t="s">
        <v>1604</v>
      </c>
    </row>
    <row r="10" customFormat="false" ht="15" hidden="false" customHeight="true" outlineLevel="0" collapsed="false">
      <c r="A10" s="9" t="n">
        <v>9</v>
      </c>
      <c r="B10" s="9" t="s">
        <v>1605</v>
      </c>
      <c r="C10" s="9" t="s">
        <v>1602</v>
      </c>
      <c r="D10" s="9" t="s">
        <v>1606</v>
      </c>
      <c r="E10" s="9" t="s">
        <v>1594</v>
      </c>
    </row>
    <row r="11" customFormat="false" ht="41.25" hidden="false" customHeight="true" outlineLevel="0" collapsed="false">
      <c r="A11" s="9" t="n">
        <v>10</v>
      </c>
      <c r="B11" s="9" t="s">
        <v>1607</v>
      </c>
      <c r="C11" s="9" t="s">
        <v>1608</v>
      </c>
      <c r="D11" s="9" t="s">
        <v>1609</v>
      </c>
      <c r="E11" s="9" t="s">
        <v>1587</v>
      </c>
    </row>
    <row r="12" customFormat="false" ht="41.25" hidden="false" customHeight="true" outlineLevel="0" collapsed="false">
      <c r="A12" s="9" t="n">
        <v>11</v>
      </c>
      <c r="B12" s="9" t="s">
        <v>1610</v>
      </c>
      <c r="C12" s="9" t="s">
        <v>1611</v>
      </c>
      <c r="D12" s="9" t="s">
        <v>1612</v>
      </c>
      <c r="E12" s="9" t="s">
        <v>1613</v>
      </c>
    </row>
    <row r="13" customFormat="false" ht="27.75" hidden="false" customHeight="true" outlineLevel="0" collapsed="false">
      <c r="A13" s="9" t="n">
        <v>12</v>
      </c>
      <c r="B13" s="9" t="s">
        <v>1614</v>
      </c>
      <c r="C13" s="9" t="s">
        <v>1602</v>
      </c>
      <c r="D13" s="9" t="s">
        <v>1615</v>
      </c>
      <c r="E13" s="9" t="s">
        <v>1613</v>
      </c>
    </row>
    <row r="14" customFormat="false" ht="27.75" hidden="false" customHeight="true" outlineLevel="0" collapsed="false">
      <c r="A14" s="9" t="n">
        <v>13</v>
      </c>
      <c r="B14" s="9" t="s">
        <v>1616</v>
      </c>
      <c r="C14" s="9" t="s">
        <v>1602</v>
      </c>
      <c r="D14" s="9" t="s">
        <v>1617</v>
      </c>
      <c r="E14" s="9" t="s">
        <v>1582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35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2" min="1" style="1" width="16"/>
    <col collapsed="false" customWidth="true" hidden="false" outlineLevel="0" max="3" min="3" style="1" width="8"/>
    <col collapsed="false" customWidth="true" hidden="false" outlineLevel="0" max="4" min="4" style="1" width="28"/>
    <col collapsed="false" customWidth="true" hidden="false" outlineLevel="0" max="6" min="5" style="1" width="40"/>
    <col collapsed="false" customWidth="true" hidden="false" outlineLevel="0" max="7" min="7" style="1" width="28"/>
    <col collapsed="false" customWidth="true" hidden="false" outlineLevel="0" max="8" min="8" style="1" width="36"/>
    <col collapsed="false" customWidth="true" hidden="false" outlineLevel="0" max="9" min="9" style="1" width="40"/>
    <col collapsed="false" customWidth="true" hidden="false" outlineLevel="0" max="10" min="10" style="1" width="34"/>
    <col collapsed="false" customWidth="true" hidden="false" outlineLevel="0" max="11" min="11" style="1" width="40"/>
    <col collapsed="false" customWidth="true" hidden="false" outlineLevel="0" max="12" min="12" style="1" width="36"/>
    <col collapsed="false" customWidth="true" hidden="false" outlineLevel="0" max="13" min="13" style="1" width="24"/>
    <col collapsed="false" customWidth="true" hidden="false" outlineLevel="0" max="14" min="14" style="1" width="14"/>
  </cols>
  <sheetData>
    <row r="1" customFormat="false" ht="45" hidden="false" customHeight="true" outlineLevel="0" collapsed="false">
      <c r="A1" s="10" t="s">
        <v>1618</v>
      </c>
      <c r="B1" s="10" t="s">
        <v>91</v>
      </c>
      <c r="C1" s="10" t="s">
        <v>1619</v>
      </c>
      <c r="D1" s="10" t="s">
        <v>1620</v>
      </c>
      <c r="E1" s="10" t="s">
        <v>1621</v>
      </c>
      <c r="F1" s="10" t="s">
        <v>1622</v>
      </c>
      <c r="G1" s="10" t="s">
        <v>1623</v>
      </c>
      <c r="H1" s="10" t="s">
        <v>1624</v>
      </c>
      <c r="I1" s="10" t="s">
        <v>1625</v>
      </c>
      <c r="J1" s="10" t="s">
        <v>1626</v>
      </c>
      <c r="K1" s="10" t="s">
        <v>1627</v>
      </c>
      <c r="L1" s="10" t="s">
        <v>1628</v>
      </c>
      <c r="M1" s="10" t="s">
        <v>143</v>
      </c>
      <c r="N1" s="10" t="s">
        <v>1629</v>
      </c>
    </row>
    <row r="2" customFormat="false" ht="41.25" hidden="false" customHeight="true" outlineLevel="0" collapsed="false">
      <c r="A2" s="9" t="s">
        <v>1630</v>
      </c>
      <c r="B2" s="9" t="s">
        <v>153</v>
      </c>
      <c r="C2" s="9" t="n">
        <v>1</v>
      </c>
      <c r="D2" s="9" t="s">
        <v>1631</v>
      </c>
      <c r="E2" s="9" t="s">
        <v>1632</v>
      </c>
      <c r="F2" s="9" t="s">
        <v>1633</v>
      </c>
      <c r="G2" s="9" t="s">
        <v>1634</v>
      </c>
      <c r="H2" s="9" t="s">
        <v>1635</v>
      </c>
      <c r="I2" s="9" t="s">
        <v>1636</v>
      </c>
      <c r="J2" s="9" t="s">
        <v>1637</v>
      </c>
      <c r="K2" s="9" t="s">
        <v>1638</v>
      </c>
      <c r="L2" s="9" t="s">
        <v>1639</v>
      </c>
      <c r="M2" s="9" t="s">
        <v>562</v>
      </c>
      <c r="N2" s="9" t="s">
        <v>1640</v>
      </c>
    </row>
    <row r="3" customFormat="false" ht="41.25" hidden="false" customHeight="true" outlineLevel="0" collapsed="false">
      <c r="A3" s="9" t="s">
        <v>1641</v>
      </c>
      <c r="B3" s="9" t="s">
        <v>153</v>
      </c>
      <c r="C3" s="9" t="n">
        <v>2</v>
      </c>
      <c r="D3" s="9" t="s">
        <v>1631</v>
      </c>
      <c r="E3" s="9" t="s">
        <v>1642</v>
      </c>
      <c r="F3" s="9" t="s">
        <v>1643</v>
      </c>
      <c r="G3" s="9" t="s">
        <v>1634</v>
      </c>
      <c r="H3" s="9" t="s">
        <v>1644</v>
      </c>
      <c r="I3" s="9" t="s">
        <v>1645</v>
      </c>
      <c r="J3" s="9" t="s">
        <v>1637</v>
      </c>
      <c r="K3" s="9" t="s">
        <v>1638</v>
      </c>
      <c r="L3" s="9" t="s">
        <v>1639</v>
      </c>
      <c r="M3" s="9" t="s">
        <v>562</v>
      </c>
      <c r="N3" s="9" t="s">
        <v>1640</v>
      </c>
    </row>
    <row r="4" customFormat="false" ht="41.25" hidden="false" customHeight="true" outlineLevel="0" collapsed="false">
      <c r="A4" s="9" t="s">
        <v>1646</v>
      </c>
      <c r="B4" s="9" t="s">
        <v>153</v>
      </c>
      <c r="C4" s="9" t="n">
        <v>3</v>
      </c>
      <c r="D4" s="9" t="s">
        <v>1631</v>
      </c>
      <c r="E4" s="9" t="s">
        <v>1647</v>
      </c>
      <c r="F4" s="9" t="s">
        <v>1648</v>
      </c>
      <c r="G4" s="9" t="s">
        <v>1634</v>
      </c>
      <c r="H4" s="9" t="s">
        <v>1649</v>
      </c>
      <c r="I4" s="9" t="s">
        <v>1650</v>
      </c>
      <c r="J4" s="9" t="s">
        <v>1637</v>
      </c>
      <c r="K4" s="9" t="s">
        <v>1638</v>
      </c>
      <c r="L4" s="9" t="s">
        <v>1639</v>
      </c>
      <c r="M4" s="9" t="s">
        <v>562</v>
      </c>
      <c r="N4" s="9" t="s">
        <v>1640</v>
      </c>
    </row>
    <row r="5" customFormat="false" ht="81.75" hidden="false" customHeight="true" outlineLevel="0" collapsed="false">
      <c r="A5" s="9" t="s">
        <v>1651</v>
      </c>
      <c r="B5" s="9" t="s">
        <v>153</v>
      </c>
      <c r="C5" s="9" t="n">
        <v>4</v>
      </c>
      <c r="D5" s="9" t="s">
        <v>1652</v>
      </c>
      <c r="E5" s="9" t="s">
        <v>1653</v>
      </c>
      <c r="F5" s="9" t="s">
        <v>1654</v>
      </c>
      <c r="G5" s="9" t="s">
        <v>1655</v>
      </c>
      <c r="H5" s="9" t="s">
        <v>1656</v>
      </c>
      <c r="I5" s="9" t="s">
        <v>1657</v>
      </c>
      <c r="J5" s="9" t="s">
        <v>1658</v>
      </c>
      <c r="K5" s="9" t="s">
        <v>1659</v>
      </c>
      <c r="L5" s="9" t="s">
        <v>1660</v>
      </c>
      <c r="M5" s="9" t="s">
        <v>1661</v>
      </c>
      <c r="N5" s="9" t="s">
        <v>1662</v>
      </c>
    </row>
    <row r="6" customFormat="false" ht="81.75" hidden="false" customHeight="true" outlineLevel="0" collapsed="false">
      <c r="A6" s="9" t="s">
        <v>1663</v>
      </c>
      <c r="B6" s="9" t="s">
        <v>153</v>
      </c>
      <c r="C6" s="9" t="n">
        <v>5</v>
      </c>
      <c r="D6" s="9" t="s">
        <v>1652</v>
      </c>
      <c r="E6" s="9" t="s">
        <v>1664</v>
      </c>
      <c r="F6" s="9" t="s">
        <v>1665</v>
      </c>
      <c r="G6" s="9" t="s">
        <v>1666</v>
      </c>
      <c r="H6" s="9" t="s">
        <v>1667</v>
      </c>
      <c r="I6" s="9" t="s">
        <v>1668</v>
      </c>
      <c r="J6" s="9" t="s">
        <v>1658</v>
      </c>
      <c r="K6" s="9" t="s">
        <v>1659</v>
      </c>
      <c r="L6" s="9" t="s">
        <v>1660</v>
      </c>
      <c r="M6" s="9" t="s">
        <v>1661</v>
      </c>
      <c r="N6" s="9" t="s">
        <v>1662</v>
      </c>
    </row>
    <row r="7" customFormat="false" ht="81.75" hidden="false" customHeight="true" outlineLevel="0" collapsed="false">
      <c r="A7" s="9" t="s">
        <v>1669</v>
      </c>
      <c r="B7" s="9" t="s">
        <v>153</v>
      </c>
      <c r="C7" s="9" t="n">
        <v>6</v>
      </c>
      <c r="D7" s="9" t="s">
        <v>1652</v>
      </c>
      <c r="E7" s="9" t="s">
        <v>1670</v>
      </c>
      <c r="F7" s="9" t="s">
        <v>1671</v>
      </c>
      <c r="G7" s="9" t="s">
        <v>1672</v>
      </c>
      <c r="H7" s="9" t="s">
        <v>1673</v>
      </c>
      <c r="I7" s="9" t="s">
        <v>1674</v>
      </c>
      <c r="J7" s="9" t="s">
        <v>1658</v>
      </c>
      <c r="K7" s="9" t="s">
        <v>1659</v>
      </c>
      <c r="L7" s="9" t="s">
        <v>1660</v>
      </c>
      <c r="M7" s="9" t="s">
        <v>1661</v>
      </c>
      <c r="N7" s="9" t="s">
        <v>1662</v>
      </c>
    </row>
    <row r="8" customFormat="false" ht="68.25" hidden="false" customHeight="true" outlineLevel="0" collapsed="false">
      <c r="A8" s="9" t="s">
        <v>1675</v>
      </c>
      <c r="B8" s="9" t="s">
        <v>153</v>
      </c>
      <c r="C8" s="9" t="n">
        <v>7</v>
      </c>
      <c r="D8" s="9" t="s">
        <v>1676</v>
      </c>
      <c r="E8" s="9" t="s">
        <v>1677</v>
      </c>
      <c r="F8" s="9" t="s">
        <v>1678</v>
      </c>
      <c r="G8" s="9" t="s">
        <v>1679</v>
      </c>
      <c r="H8" s="9" t="s">
        <v>1680</v>
      </c>
      <c r="I8" s="9" t="s">
        <v>1681</v>
      </c>
      <c r="J8" s="9" t="s">
        <v>1682</v>
      </c>
      <c r="K8" s="9" t="s">
        <v>1683</v>
      </c>
      <c r="L8" s="9" t="s">
        <v>1684</v>
      </c>
      <c r="M8" s="9" t="s">
        <v>1685</v>
      </c>
      <c r="N8" s="9" t="s">
        <v>1686</v>
      </c>
    </row>
    <row r="9" customFormat="false" ht="41.25" hidden="false" customHeight="true" outlineLevel="0" collapsed="false">
      <c r="A9" s="9" t="s">
        <v>1687</v>
      </c>
      <c r="B9" s="9" t="s">
        <v>211</v>
      </c>
      <c r="C9" s="9" t="n">
        <v>1</v>
      </c>
      <c r="D9" s="9" t="s">
        <v>1631</v>
      </c>
      <c r="E9" s="9" t="s">
        <v>1688</v>
      </c>
      <c r="F9" s="9" t="s">
        <v>1689</v>
      </c>
      <c r="G9" s="9" t="s">
        <v>1634</v>
      </c>
      <c r="H9" s="9" t="s">
        <v>1690</v>
      </c>
      <c r="I9" s="9" t="s">
        <v>1691</v>
      </c>
      <c r="J9" s="9" t="s">
        <v>1692</v>
      </c>
      <c r="K9" s="9" t="s">
        <v>1638</v>
      </c>
      <c r="L9" s="9" t="s">
        <v>1639</v>
      </c>
      <c r="M9" s="9" t="s">
        <v>562</v>
      </c>
      <c r="N9" s="9" t="s">
        <v>1640</v>
      </c>
    </row>
    <row r="10" customFormat="false" ht="41.25" hidden="false" customHeight="true" outlineLevel="0" collapsed="false">
      <c r="A10" s="9" t="s">
        <v>1693</v>
      </c>
      <c r="B10" s="9" t="s">
        <v>211</v>
      </c>
      <c r="C10" s="9" t="n">
        <v>2</v>
      </c>
      <c r="D10" s="9" t="s">
        <v>1631</v>
      </c>
      <c r="E10" s="9" t="s">
        <v>1694</v>
      </c>
      <c r="F10" s="9" t="s">
        <v>1695</v>
      </c>
      <c r="G10" s="9" t="s">
        <v>1634</v>
      </c>
      <c r="H10" s="9" t="s">
        <v>1696</v>
      </c>
      <c r="I10" s="9" t="s">
        <v>1697</v>
      </c>
      <c r="J10" s="9" t="s">
        <v>1692</v>
      </c>
      <c r="K10" s="9" t="s">
        <v>1638</v>
      </c>
      <c r="L10" s="9" t="s">
        <v>1639</v>
      </c>
      <c r="M10" s="9" t="s">
        <v>562</v>
      </c>
      <c r="N10" s="9" t="s">
        <v>1640</v>
      </c>
    </row>
    <row r="11" customFormat="false" ht="41.25" hidden="false" customHeight="true" outlineLevel="0" collapsed="false">
      <c r="A11" s="9" t="s">
        <v>1698</v>
      </c>
      <c r="B11" s="9" t="s">
        <v>211</v>
      </c>
      <c r="C11" s="9" t="n">
        <v>3</v>
      </c>
      <c r="D11" s="9" t="s">
        <v>1631</v>
      </c>
      <c r="E11" s="9" t="s">
        <v>1699</v>
      </c>
      <c r="F11" s="9" t="s">
        <v>1700</v>
      </c>
      <c r="G11" s="9" t="s">
        <v>1634</v>
      </c>
      <c r="H11" s="9" t="s">
        <v>1701</v>
      </c>
      <c r="I11" s="9" t="s">
        <v>1702</v>
      </c>
      <c r="J11" s="9" t="s">
        <v>1692</v>
      </c>
      <c r="K11" s="9" t="s">
        <v>1638</v>
      </c>
      <c r="L11" s="9" t="s">
        <v>1639</v>
      </c>
      <c r="M11" s="9" t="s">
        <v>562</v>
      </c>
      <c r="N11" s="9" t="s">
        <v>1640</v>
      </c>
    </row>
    <row r="12" customFormat="false" ht="68.25" hidden="false" customHeight="true" outlineLevel="0" collapsed="false">
      <c r="A12" s="9" t="s">
        <v>1703</v>
      </c>
      <c r="B12" s="9" t="s">
        <v>211</v>
      </c>
      <c r="C12" s="9" t="n">
        <v>4</v>
      </c>
      <c r="D12" s="9" t="s">
        <v>1652</v>
      </c>
      <c r="E12" s="9" t="s">
        <v>1704</v>
      </c>
      <c r="F12" s="9" t="s">
        <v>1705</v>
      </c>
      <c r="G12" s="9" t="s">
        <v>1706</v>
      </c>
      <c r="H12" s="9" t="s">
        <v>1667</v>
      </c>
      <c r="I12" s="9" t="s">
        <v>1707</v>
      </c>
      <c r="J12" s="9" t="s">
        <v>1708</v>
      </c>
      <c r="K12" s="9" t="s">
        <v>1659</v>
      </c>
      <c r="L12" s="9" t="s">
        <v>1660</v>
      </c>
      <c r="M12" s="9" t="s">
        <v>1661</v>
      </c>
      <c r="N12" s="9" t="s">
        <v>1662</v>
      </c>
    </row>
    <row r="13" customFormat="false" ht="68.25" hidden="false" customHeight="true" outlineLevel="0" collapsed="false">
      <c r="A13" s="9" t="s">
        <v>1709</v>
      </c>
      <c r="B13" s="9" t="s">
        <v>211</v>
      </c>
      <c r="C13" s="9" t="n">
        <v>5</v>
      </c>
      <c r="D13" s="9" t="s">
        <v>1652</v>
      </c>
      <c r="E13" s="9" t="s">
        <v>1710</v>
      </c>
      <c r="F13" s="9" t="s">
        <v>1711</v>
      </c>
      <c r="G13" s="9" t="s">
        <v>1712</v>
      </c>
      <c r="H13" s="9" t="s">
        <v>1713</v>
      </c>
      <c r="I13" s="9" t="s">
        <v>1714</v>
      </c>
      <c r="J13" s="9" t="s">
        <v>1708</v>
      </c>
      <c r="K13" s="9" t="s">
        <v>1659</v>
      </c>
      <c r="L13" s="9" t="s">
        <v>1660</v>
      </c>
      <c r="M13" s="9" t="s">
        <v>1661</v>
      </c>
      <c r="N13" s="9" t="s">
        <v>1662</v>
      </c>
    </row>
    <row r="14" customFormat="false" ht="68.25" hidden="false" customHeight="true" outlineLevel="0" collapsed="false">
      <c r="A14" s="9" t="s">
        <v>1715</v>
      </c>
      <c r="B14" s="9" t="s">
        <v>211</v>
      </c>
      <c r="C14" s="9" t="n">
        <v>6</v>
      </c>
      <c r="D14" s="9" t="s">
        <v>1652</v>
      </c>
      <c r="E14" s="9" t="s">
        <v>1716</v>
      </c>
      <c r="F14" s="9" t="s">
        <v>1717</v>
      </c>
      <c r="G14" s="9" t="s">
        <v>1718</v>
      </c>
      <c r="H14" s="9" t="s">
        <v>1713</v>
      </c>
      <c r="I14" s="9" t="s">
        <v>1719</v>
      </c>
      <c r="J14" s="9" t="s">
        <v>1708</v>
      </c>
      <c r="K14" s="9" t="s">
        <v>1659</v>
      </c>
      <c r="L14" s="9" t="s">
        <v>1660</v>
      </c>
      <c r="M14" s="9" t="s">
        <v>1661</v>
      </c>
      <c r="N14" s="9" t="s">
        <v>1662</v>
      </c>
    </row>
    <row r="15" customFormat="false" ht="68.25" hidden="false" customHeight="true" outlineLevel="0" collapsed="false">
      <c r="A15" s="9" t="s">
        <v>1720</v>
      </c>
      <c r="B15" s="9" t="s">
        <v>211</v>
      </c>
      <c r="C15" s="9" t="n">
        <v>7</v>
      </c>
      <c r="D15" s="9" t="s">
        <v>1676</v>
      </c>
      <c r="E15" s="9" t="s">
        <v>1677</v>
      </c>
      <c r="F15" s="9" t="s">
        <v>1721</v>
      </c>
      <c r="G15" s="9" t="s">
        <v>1679</v>
      </c>
      <c r="H15" s="9" t="s">
        <v>1680</v>
      </c>
      <c r="I15" s="9" t="s">
        <v>1722</v>
      </c>
      <c r="J15" s="9" t="s">
        <v>1723</v>
      </c>
      <c r="K15" s="9" t="s">
        <v>1683</v>
      </c>
      <c r="L15" s="9" t="s">
        <v>1684</v>
      </c>
      <c r="M15" s="9" t="s">
        <v>1685</v>
      </c>
      <c r="N15" s="9" t="s">
        <v>1686</v>
      </c>
    </row>
    <row r="16" customFormat="false" ht="41.25" hidden="false" customHeight="true" outlineLevel="0" collapsed="false">
      <c r="A16" s="9" t="s">
        <v>1724</v>
      </c>
      <c r="B16" s="9" t="s">
        <v>248</v>
      </c>
      <c r="C16" s="9" t="n">
        <v>1</v>
      </c>
      <c r="D16" s="9" t="s">
        <v>1631</v>
      </c>
      <c r="E16" s="9" t="s">
        <v>1725</v>
      </c>
      <c r="F16" s="9" t="s">
        <v>1726</v>
      </c>
      <c r="G16" s="9" t="s">
        <v>1634</v>
      </c>
      <c r="H16" s="9" t="s">
        <v>1727</v>
      </c>
      <c r="I16" s="9" t="s">
        <v>1728</v>
      </c>
      <c r="J16" s="9" t="s">
        <v>1729</v>
      </c>
      <c r="K16" s="9" t="s">
        <v>1638</v>
      </c>
      <c r="L16" s="9" t="s">
        <v>1639</v>
      </c>
      <c r="M16" s="9" t="s">
        <v>562</v>
      </c>
      <c r="N16" s="9" t="s">
        <v>1640</v>
      </c>
    </row>
    <row r="17" customFormat="false" ht="41.25" hidden="false" customHeight="true" outlineLevel="0" collapsed="false">
      <c r="A17" s="9" t="s">
        <v>1730</v>
      </c>
      <c r="B17" s="9" t="s">
        <v>248</v>
      </c>
      <c r="C17" s="9" t="n">
        <v>2</v>
      </c>
      <c r="D17" s="9" t="s">
        <v>1631</v>
      </c>
      <c r="E17" s="9" t="s">
        <v>1731</v>
      </c>
      <c r="F17" s="9" t="s">
        <v>1732</v>
      </c>
      <c r="G17" s="9" t="s">
        <v>1634</v>
      </c>
      <c r="H17" s="9" t="s">
        <v>1733</v>
      </c>
      <c r="I17" s="9" t="s">
        <v>1734</v>
      </c>
      <c r="J17" s="9" t="s">
        <v>1729</v>
      </c>
      <c r="K17" s="9" t="s">
        <v>1638</v>
      </c>
      <c r="L17" s="9" t="s">
        <v>1639</v>
      </c>
      <c r="M17" s="9" t="s">
        <v>562</v>
      </c>
      <c r="N17" s="9" t="s">
        <v>1640</v>
      </c>
    </row>
    <row r="18" customFormat="false" ht="41.25" hidden="false" customHeight="true" outlineLevel="0" collapsed="false">
      <c r="A18" s="9" t="s">
        <v>1735</v>
      </c>
      <c r="B18" s="9" t="s">
        <v>248</v>
      </c>
      <c r="C18" s="9" t="n">
        <v>3</v>
      </c>
      <c r="D18" s="9" t="s">
        <v>1631</v>
      </c>
      <c r="E18" s="9" t="s">
        <v>1736</v>
      </c>
      <c r="F18" s="9" t="s">
        <v>1737</v>
      </c>
      <c r="G18" s="9" t="s">
        <v>1634</v>
      </c>
      <c r="H18" s="9" t="s">
        <v>1738</v>
      </c>
      <c r="I18" s="9" t="s">
        <v>1739</v>
      </c>
      <c r="J18" s="9" t="s">
        <v>1729</v>
      </c>
      <c r="K18" s="9" t="s">
        <v>1638</v>
      </c>
      <c r="L18" s="9" t="s">
        <v>1639</v>
      </c>
      <c r="M18" s="9" t="s">
        <v>562</v>
      </c>
      <c r="N18" s="9" t="s">
        <v>1640</v>
      </c>
    </row>
    <row r="19" customFormat="false" ht="68.25" hidden="false" customHeight="true" outlineLevel="0" collapsed="false">
      <c r="A19" s="9" t="s">
        <v>1740</v>
      </c>
      <c r="B19" s="9" t="s">
        <v>248</v>
      </c>
      <c r="C19" s="9" t="n">
        <v>4</v>
      </c>
      <c r="D19" s="9" t="s">
        <v>1652</v>
      </c>
      <c r="E19" s="9" t="s">
        <v>1741</v>
      </c>
      <c r="F19" s="9" t="s">
        <v>1742</v>
      </c>
      <c r="G19" s="9" t="s">
        <v>1743</v>
      </c>
      <c r="H19" s="9" t="s">
        <v>1656</v>
      </c>
      <c r="I19" s="9" t="s">
        <v>1744</v>
      </c>
      <c r="J19" s="9" t="s">
        <v>1745</v>
      </c>
      <c r="K19" s="9" t="s">
        <v>1659</v>
      </c>
      <c r="L19" s="9" t="s">
        <v>1660</v>
      </c>
      <c r="M19" s="9" t="s">
        <v>1661</v>
      </c>
      <c r="N19" s="9" t="s">
        <v>1662</v>
      </c>
    </row>
    <row r="20" customFormat="false" ht="68.25" hidden="false" customHeight="true" outlineLevel="0" collapsed="false">
      <c r="A20" s="9" t="s">
        <v>1746</v>
      </c>
      <c r="B20" s="9" t="s">
        <v>248</v>
      </c>
      <c r="C20" s="9" t="n">
        <v>5</v>
      </c>
      <c r="D20" s="9" t="s">
        <v>1652</v>
      </c>
      <c r="E20" s="9" t="s">
        <v>1747</v>
      </c>
      <c r="F20" s="9" t="s">
        <v>1748</v>
      </c>
      <c r="G20" s="9" t="s">
        <v>1706</v>
      </c>
      <c r="H20" s="9" t="s">
        <v>1667</v>
      </c>
      <c r="I20" s="9" t="s">
        <v>1749</v>
      </c>
      <c r="J20" s="9" t="s">
        <v>1745</v>
      </c>
      <c r="K20" s="9" t="s">
        <v>1659</v>
      </c>
      <c r="L20" s="9" t="s">
        <v>1660</v>
      </c>
      <c r="M20" s="9" t="s">
        <v>1661</v>
      </c>
      <c r="N20" s="9" t="s">
        <v>1662</v>
      </c>
    </row>
    <row r="21" customFormat="false" ht="68.25" hidden="false" customHeight="true" outlineLevel="0" collapsed="false">
      <c r="A21" s="9" t="s">
        <v>1750</v>
      </c>
      <c r="B21" s="9" t="s">
        <v>248</v>
      </c>
      <c r="C21" s="9" t="n">
        <v>6</v>
      </c>
      <c r="D21" s="9" t="s">
        <v>1652</v>
      </c>
      <c r="E21" s="9" t="s">
        <v>1751</v>
      </c>
      <c r="F21" s="9" t="s">
        <v>1752</v>
      </c>
      <c r="G21" s="9" t="s">
        <v>1753</v>
      </c>
      <c r="H21" s="9" t="s">
        <v>1754</v>
      </c>
      <c r="I21" s="9" t="s">
        <v>1755</v>
      </c>
      <c r="J21" s="9" t="s">
        <v>1745</v>
      </c>
      <c r="K21" s="9" t="s">
        <v>1659</v>
      </c>
      <c r="L21" s="9" t="s">
        <v>1660</v>
      </c>
      <c r="M21" s="9" t="s">
        <v>1661</v>
      </c>
      <c r="N21" s="9" t="s">
        <v>1662</v>
      </c>
    </row>
    <row r="22" customFormat="false" ht="68.25" hidden="false" customHeight="true" outlineLevel="0" collapsed="false">
      <c r="A22" s="9" t="s">
        <v>1756</v>
      </c>
      <c r="B22" s="9" t="s">
        <v>248</v>
      </c>
      <c r="C22" s="9" t="n">
        <v>7</v>
      </c>
      <c r="D22" s="9" t="s">
        <v>1676</v>
      </c>
      <c r="E22" s="9" t="s">
        <v>1677</v>
      </c>
      <c r="F22" s="9" t="s">
        <v>1757</v>
      </c>
      <c r="G22" s="9" t="s">
        <v>1679</v>
      </c>
      <c r="H22" s="9" t="s">
        <v>1680</v>
      </c>
      <c r="I22" s="9" t="s">
        <v>1758</v>
      </c>
      <c r="J22" s="9" t="s">
        <v>1759</v>
      </c>
      <c r="K22" s="9" t="s">
        <v>1683</v>
      </c>
      <c r="L22" s="9" t="s">
        <v>1684</v>
      </c>
      <c r="M22" s="9" t="s">
        <v>1685</v>
      </c>
      <c r="N22" s="9" t="s">
        <v>1686</v>
      </c>
    </row>
    <row r="23" customFormat="false" ht="41.25" hidden="false" customHeight="true" outlineLevel="0" collapsed="false">
      <c r="A23" s="9" t="s">
        <v>1760</v>
      </c>
      <c r="B23" s="9" t="s">
        <v>283</v>
      </c>
      <c r="C23" s="9" t="n">
        <v>1</v>
      </c>
      <c r="D23" s="9" t="s">
        <v>1631</v>
      </c>
      <c r="E23" s="9" t="s">
        <v>1761</v>
      </c>
      <c r="F23" s="9" t="s">
        <v>1762</v>
      </c>
      <c r="G23" s="9" t="s">
        <v>1634</v>
      </c>
      <c r="H23" s="9" t="s">
        <v>1763</v>
      </c>
      <c r="I23" s="9" t="s">
        <v>1764</v>
      </c>
      <c r="J23" s="9" t="s">
        <v>1765</v>
      </c>
      <c r="K23" s="9" t="s">
        <v>1638</v>
      </c>
      <c r="L23" s="9" t="s">
        <v>1639</v>
      </c>
      <c r="M23" s="9" t="s">
        <v>562</v>
      </c>
      <c r="N23" s="9" t="s">
        <v>1640</v>
      </c>
    </row>
    <row r="24" customFormat="false" ht="41.25" hidden="false" customHeight="true" outlineLevel="0" collapsed="false">
      <c r="A24" s="9" t="s">
        <v>1766</v>
      </c>
      <c r="B24" s="9" t="s">
        <v>283</v>
      </c>
      <c r="C24" s="9" t="n">
        <v>2</v>
      </c>
      <c r="D24" s="9" t="s">
        <v>1631</v>
      </c>
      <c r="E24" s="9" t="s">
        <v>1767</v>
      </c>
      <c r="F24" s="9" t="s">
        <v>1768</v>
      </c>
      <c r="G24" s="9" t="s">
        <v>1634</v>
      </c>
      <c r="H24" s="9" t="s">
        <v>1769</v>
      </c>
      <c r="I24" s="9" t="s">
        <v>1770</v>
      </c>
      <c r="J24" s="9" t="s">
        <v>1765</v>
      </c>
      <c r="K24" s="9" t="s">
        <v>1638</v>
      </c>
      <c r="L24" s="9" t="s">
        <v>1639</v>
      </c>
      <c r="M24" s="9" t="s">
        <v>562</v>
      </c>
      <c r="N24" s="9" t="s">
        <v>1640</v>
      </c>
    </row>
    <row r="25" customFormat="false" ht="41.25" hidden="false" customHeight="true" outlineLevel="0" collapsed="false">
      <c r="A25" s="9" t="s">
        <v>1771</v>
      </c>
      <c r="B25" s="9" t="s">
        <v>283</v>
      </c>
      <c r="C25" s="9" t="n">
        <v>3</v>
      </c>
      <c r="D25" s="9" t="s">
        <v>1631</v>
      </c>
      <c r="E25" s="9" t="s">
        <v>1772</v>
      </c>
      <c r="F25" s="9" t="s">
        <v>1773</v>
      </c>
      <c r="G25" s="9" t="s">
        <v>1634</v>
      </c>
      <c r="H25" s="9" t="s">
        <v>1774</v>
      </c>
      <c r="I25" s="9" t="s">
        <v>1775</v>
      </c>
      <c r="J25" s="9" t="s">
        <v>1765</v>
      </c>
      <c r="K25" s="9" t="s">
        <v>1638</v>
      </c>
      <c r="L25" s="9" t="s">
        <v>1639</v>
      </c>
      <c r="M25" s="9" t="s">
        <v>562</v>
      </c>
      <c r="N25" s="9" t="s">
        <v>1640</v>
      </c>
    </row>
    <row r="26" customFormat="false" ht="54.75" hidden="false" customHeight="true" outlineLevel="0" collapsed="false">
      <c r="A26" s="9" t="s">
        <v>1776</v>
      </c>
      <c r="B26" s="9" t="s">
        <v>283</v>
      </c>
      <c r="C26" s="9" t="n">
        <v>4</v>
      </c>
      <c r="D26" s="9" t="s">
        <v>1652</v>
      </c>
      <c r="E26" s="9" t="s">
        <v>1777</v>
      </c>
      <c r="F26" s="9" t="s">
        <v>1778</v>
      </c>
      <c r="G26" s="9" t="s">
        <v>1779</v>
      </c>
      <c r="H26" s="9" t="s">
        <v>1713</v>
      </c>
      <c r="I26" s="9" t="s">
        <v>1780</v>
      </c>
      <c r="J26" s="9" t="s">
        <v>1781</v>
      </c>
      <c r="K26" s="9" t="s">
        <v>1659</v>
      </c>
      <c r="L26" s="9" t="s">
        <v>1660</v>
      </c>
      <c r="M26" s="9" t="s">
        <v>1661</v>
      </c>
      <c r="N26" s="9" t="s">
        <v>1662</v>
      </c>
    </row>
    <row r="27" customFormat="false" ht="54.75" hidden="false" customHeight="true" outlineLevel="0" collapsed="false">
      <c r="A27" s="9" t="s">
        <v>1782</v>
      </c>
      <c r="B27" s="9" t="s">
        <v>283</v>
      </c>
      <c r="C27" s="9" t="n">
        <v>5</v>
      </c>
      <c r="D27" s="9" t="s">
        <v>1652</v>
      </c>
      <c r="E27" s="9" t="s">
        <v>1783</v>
      </c>
      <c r="F27" s="9" t="s">
        <v>1784</v>
      </c>
      <c r="G27" s="9" t="s">
        <v>1785</v>
      </c>
      <c r="H27" s="9" t="s">
        <v>1713</v>
      </c>
      <c r="I27" s="9" t="s">
        <v>1786</v>
      </c>
      <c r="J27" s="9" t="s">
        <v>1781</v>
      </c>
      <c r="K27" s="9" t="s">
        <v>1659</v>
      </c>
      <c r="L27" s="9" t="s">
        <v>1660</v>
      </c>
      <c r="M27" s="9" t="s">
        <v>1661</v>
      </c>
      <c r="N27" s="9" t="s">
        <v>1662</v>
      </c>
    </row>
    <row r="28" customFormat="false" ht="54.75" hidden="false" customHeight="true" outlineLevel="0" collapsed="false">
      <c r="A28" s="9" t="s">
        <v>1787</v>
      </c>
      <c r="B28" s="9" t="s">
        <v>283</v>
      </c>
      <c r="C28" s="9" t="n">
        <v>6</v>
      </c>
      <c r="D28" s="9" t="s">
        <v>1652</v>
      </c>
      <c r="E28" s="9" t="s">
        <v>1788</v>
      </c>
      <c r="F28" s="9" t="s">
        <v>1789</v>
      </c>
      <c r="G28" s="9" t="s">
        <v>1790</v>
      </c>
      <c r="H28" s="9" t="s">
        <v>1713</v>
      </c>
      <c r="I28" s="9" t="s">
        <v>1791</v>
      </c>
      <c r="J28" s="9" t="s">
        <v>1781</v>
      </c>
      <c r="K28" s="9" t="s">
        <v>1659</v>
      </c>
      <c r="L28" s="9" t="s">
        <v>1660</v>
      </c>
      <c r="M28" s="9" t="s">
        <v>1661</v>
      </c>
      <c r="N28" s="9" t="s">
        <v>1662</v>
      </c>
    </row>
    <row r="29" customFormat="false" ht="68.25" hidden="false" customHeight="true" outlineLevel="0" collapsed="false">
      <c r="A29" s="9" t="s">
        <v>1792</v>
      </c>
      <c r="B29" s="9" t="s">
        <v>283</v>
      </c>
      <c r="C29" s="9" t="n">
        <v>7</v>
      </c>
      <c r="D29" s="9" t="s">
        <v>1676</v>
      </c>
      <c r="E29" s="9" t="s">
        <v>1677</v>
      </c>
      <c r="F29" s="9" t="s">
        <v>1793</v>
      </c>
      <c r="G29" s="9" t="s">
        <v>1679</v>
      </c>
      <c r="H29" s="9" t="s">
        <v>1680</v>
      </c>
      <c r="I29" s="9" t="s">
        <v>1794</v>
      </c>
      <c r="J29" s="9" t="s">
        <v>1795</v>
      </c>
      <c r="K29" s="9" t="s">
        <v>1683</v>
      </c>
      <c r="L29" s="9" t="s">
        <v>1684</v>
      </c>
      <c r="M29" s="9" t="s">
        <v>1685</v>
      </c>
      <c r="N29" s="9" t="s">
        <v>1686</v>
      </c>
    </row>
    <row r="30" customFormat="false" ht="41.25" hidden="false" customHeight="true" outlineLevel="0" collapsed="false">
      <c r="A30" s="9" t="s">
        <v>1796</v>
      </c>
      <c r="B30" s="9" t="s">
        <v>315</v>
      </c>
      <c r="C30" s="9" t="n">
        <v>1</v>
      </c>
      <c r="D30" s="9" t="s">
        <v>1631</v>
      </c>
      <c r="E30" s="9" t="s">
        <v>1797</v>
      </c>
      <c r="F30" s="9" t="s">
        <v>1798</v>
      </c>
      <c r="G30" s="9" t="s">
        <v>1634</v>
      </c>
      <c r="H30" s="9" t="s">
        <v>1799</v>
      </c>
      <c r="I30" s="9" t="s">
        <v>1800</v>
      </c>
      <c r="J30" s="9" t="s">
        <v>1801</v>
      </c>
      <c r="K30" s="9" t="s">
        <v>1638</v>
      </c>
      <c r="L30" s="9" t="s">
        <v>1639</v>
      </c>
      <c r="M30" s="9" t="s">
        <v>562</v>
      </c>
      <c r="N30" s="9" t="s">
        <v>1640</v>
      </c>
    </row>
    <row r="31" customFormat="false" ht="41.25" hidden="false" customHeight="true" outlineLevel="0" collapsed="false">
      <c r="A31" s="9" t="s">
        <v>1802</v>
      </c>
      <c r="B31" s="9" t="s">
        <v>315</v>
      </c>
      <c r="C31" s="9" t="n">
        <v>2</v>
      </c>
      <c r="D31" s="9" t="s">
        <v>1631</v>
      </c>
      <c r="E31" s="9" t="s">
        <v>1803</v>
      </c>
      <c r="F31" s="9" t="s">
        <v>1804</v>
      </c>
      <c r="G31" s="9" t="s">
        <v>1634</v>
      </c>
      <c r="H31" s="9" t="s">
        <v>1805</v>
      </c>
      <c r="I31" s="9" t="s">
        <v>1806</v>
      </c>
      <c r="J31" s="9" t="s">
        <v>1801</v>
      </c>
      <c r="K31" s="9" t="s">
        <v>1638</v>
      </c>
      <c r="L31" s="9" t="s">
        <v>1639</v>
      </c>
      <c r="M31" s="9" t="s">
        <v>562</v>
      </c>
      <c r="N31" s="9" t="s">
        <v>1640</v>
      </c>
    </row>
    <row r="32" customFormat="false" ht="41.25" hidden="false" customHeight="true" outlineLevel="0" collapsed="false">
      <c r="A32" s="9" t="s">
        <v>1807</v>
      </c>
      <c r="B32" s="9" t="s">
        <v>315</v>
      </c>
      <c r="C32" s="9" t="n">
        <v>3</v>
      </c>
      <c r="D32" s="9" t="s">
        <v>1631</v>
      </c>
      <c r="E32" s="9" t="s">
        <v>1808</v>
      </c>
      <c r="F32" s="9" t="s">
        <v>1809</v>
      </c>
      <c r="G32" s="9" t="s">
        <v>1634</v>
      </c>
      <c r="H32" s="9" t="s">
        <v>1810</v>
      </c>
      <c r="I32" s="9" t="s">
        <v>1811</v>
      </c>
      <c r="J32" s="9" t="s">
        <v>1801</v>
      </c>
      <c r="K32" s="9" t="s">
        <v>1638</v>
      </c>
      <c r="L32" s="9" t="s">
        <v>1639</v>
      </c>
      <c r="M32" s="9" t="s">
        <v>562</v>
      </c>
      <c r="N32" s="9" t="s">
        <v>1640</v>
      </c>
    </row>
    <row r="33" customFormat="false" ht="68.25" hidden="false" customHeight="true" outlineLevel="0" collapsed="false">
      <c r="A33" s="9" t="s">
        <v>1812</v>
      </c>
      <c r="B33" s="9" t="s">
        <v>315</v>
      </c>
      <c r="C33" s="9" t="n">
        <v>4</v>
      </c>
      <c r="D33" s="9" t="s">
        <v>1652</v>
      </c>
      <c r="E33" s="9" t="s">
        <v>1813</v>
      </c>
      <c r="F33" s="9" t="s">
        <v>1814</v>
      </c>
      <c r="G33" s="9" t="s">
        <v>1815</v>
      </c>
      <c r="H33" s="9" t="s">
        <v>1713</v>
      </c>
      <c r="I33" s="9" t="s">
        <v>1816</v>
      </c>
      <c r="J33" s="9" t="s">
        <v>1817</v>
      </c>
      <c r="K33" s="9" t="s">
        <v>1659</v>
      </c>
      <c r="L33" s="9" t="s">
        <v>1660</v>
      </c>
      <c r="M33" s="9" t="s">
        <v>1661</v>
      </c>
      <c r="N33" s="9" t="s">
        <v>1662</v>
      </c>
    </row>
    <row r="34" customFormat="false" ht="68.25" hidden="false" customHeight="true" outlineLevel="0" collapsed="false">
      <c r="A34" s="9" t="s">
        <v>1818</v>
      </c>
      <c r="B34" s="9" t="s">
        <v>315</v>
      </c>
      <c r="C34" s="9" t="n">
        <v>5</v>
      </c>
      <c r="D34" s="9" t="s">
        <v>1652</v>
      </c>
      <c r="E34" s="9" t="s">
        <v>1819</v>
      </c>
      <c r="F34" s="9" t="s">
        <v>1820</v>
      </c>
      <c r="G34" s="9" t="s">
        <v>1821</v>
      </c>
      <c r="H34" s="9" t="s">
        <v>1713</v>
      </c>
      <c r="I34" s="9" t="s">
        <v>1822</v>
      </c>
      <c r="J34" s="9" t="s">
        <v>1817</v>
      </c>
      <c r="K34" s="9" t="s">
        <v>1659</v>
      </c>
      <c r="L34" s="9" t="s">
        <v>1660</v>
      </c>
      <c r="M34" s="9" t="s">
        <v>1661</v>
      </c>
      <c r="N34" s="9" t="s">
        <v>1662</v>
      </c>
    </row>
    <row r="35" customFormat="false" ht="68.25" hidden="false" customHeight="true" outlineLevel="0" collapsed="false">
      <c r="A35" s="9" t="s">
        <v>1823</v>
      </c>
      <c r="B35" s="9" t="s">
        <v>315</v>
      </c>
      <c r="C35" s="9" t="n">
        <v>6</v>
      </c>
      <c r="D35" s="9" t="s">
        <v>1652</v>
      </c>
      <c r="E35" s="9" t="s">
        <v>1824</v>
      </c>
      <c r="F35" s="9" t="s">
        <v>1825</v>
      </c>
      <c r="G35" s="9" t="s">
        <v>1826</v>
      </c>
      <c r="H35" s="9" t="s">
        <v>1656</v>
      </c>
      <c r="I35" s="9" t="s">
        <v>1827</v>
      </c>
      <c r="J35" s="9" t="s">
        <v>1817</v>
      </c>
      <c r="K35" s="9" t="s">
        <v>1659</v>
      </c>
      <c r="L35" s="9" t="s">
        <v>1660</v>
      </c>
      <c r="M35" s="9" t="s">
        <v>1661</v>
      </c>
      <c r="N35" s="9" t="s">
        <v>1662</v>
      </c>
    </row>
    <row r="36" customFormat="false" ht="41.25" hidden="false" customHeight="true" outlineLevel="0" collapsed="false">
      <c r="A36" s="9" t="s">
        <v>1828</v>
      </c>
      <c r="B36" s="9" t="s">
        <v>315</v>
      </c>
      <c r="C36" s="9" t="n">
        <v>7</v>
      </c>
      <c r="D36" s="9" t="s">
        <v>1676</v>
      </c>
      <c r="E36" s="9" t="s">
        <v>1677</v>
      </c>
      <c r="F36" s="9" t="s">
        <v>1829</v>
      </c>
      <c r="G36" s="9" t="s">
        <v>1679</v>
      </c>
      <c r="H36" s="9" t="s">
        <v>1680</v>
      </c>
      <c r="I36" s="9" t="s">
        <v>1830</v>
      </c>
      <c r="J36" s="9" t="s">
        <v>1831</v>
      </c>
      <c r="K36" s="9" t="s">
        <v>1683</v>
      </c>
      <c r="L36" s="9" t="s">
        <v>1684</v>
      </c>
      <c r="M36" s="9" t="s">
        <v>1685</v>
      </c>
      <c r="N36" s="9" t="s">
        <v>1686</v>
      </c>
    </row>
    <row r="37" customFormat="false" ht="41.25" hidden="false" customHeight="true" outlineLevel="0" collapsed="false">
      <c r="A37" s="9" t="s">
        <v>1832</v>
      </c>
      <c r="B37" s="9" t="s">
        <v>347</v>
      </c>
      <c r="C37" s="9" t="n">
        <v>1</v>
      </c>
      <c r="D37" s="9" t="s">
        <v>1631</v>
      </c>
      <c r="E37" s="9" t="s">
        <v>1833</v>
      </c>
      <c r="F37" s="9" t="s">
        <v>1834</v>
      </c>
      <c r="G37" s="9" t="s">
        <v>1634</v>
      </c>
      <c r="H37" s="9" t="s">
        <v>1835</v>
      </c>
      <c r="I37" s="9" t="s">
        <v>1836</v>
      </c>
      <c r="J37" s="9" t="s">
        <v>1837</v>
      </c>
      <c r="K37" s="9" t="s">
        <v>1638</v>
      </c>
      <c r="L37" s="9" t="s">
        <v>1639</v>
      </c>
      <c r="M37" s="9" t="s">
        <v>562</v>
      </c>
      <c r="N37" s="9" t="s">
        <v>1640</v>
      </c>
    </row>
    <row r="38" customFormat="false" ht="41.25" hidden="false" customHeight="true" outlineLevel="0" collapsed="false">
      <c r="A38" s="9" t="s">
        <v>1838</v>
      </c>
      <c r="B38" s="9" t="s">
        <v>347</v>
      </c>
      <c r="C38" s="9" t="n">
        <v>2</v>
      </c>
      <c r="D38" s="9" t="s">
        <v>1631</v>
      </c>
      <c r="E38" s="9" t="s">
        <v>1839</v>
      </c>
      <c r="F38" s="9" t="s">
        <v>1840</v>
      </c>
      <c r="G38" s="9" t="s">
        <v>1634</v>
      </c>
      <c r="H38" s="9" t="s">
        <v>1841</v>
      </c>
      <c r="I38" s="9" t="s">
        <v>1842</v>
      </c>
      <c r="J38" s="9" t="s">
        <v>1837</v>
      </c>
      <c r="K38" s="9" t="s">
        <v>1638</v>
      </c>
      <c r="L38" s="9" t="s">
        <v>1639</v>
      </c>
      <c r="M38" s="9" t="s">
        <v>562</v>
      </c>
      <c r="N38" s="9" t="s">
        <v>1640</v>
      </c>
    </row>
    <row r="39" customFormat="false" ht="41.25" hidden="false" customHeight="true" outlineLevel="0" collapsed="false">
      <c r="A39" s="9" t="s">
        <v>1843</v>
      </c>
      <c r="B39" s="9" t="s">
        <v>347</v>
      </c>
      <c r="C39" s="9" t="n">
        <v>3</v>
      </c>
      <c r="D39" s="9" t="s">
        <v>1631</v>
      </c>
      <c r="E39" s="9" t="s">
        <v>1844</v>
      </c>
      <c r="F39" s="9" t="s">
        <v>1845</v>
      </c>
      <c r="G39" s="9" t="s">
        <v>1634</v>
      </c>
      <c r="H39" s="9" t="s">
        <v>1846</v>
      </c>
      <c r="I39" s="9" t="s">
        <v>1847</v>
      </c>
      <c r="J39" s="9" t="s">
        <v>1837</v>
      </c>
      <c r="K39" s="9" t="s">
        <v>1638</v>
      </c>
      <c r="L39" s="9" t="s">
        <v>1639</v>
      </c>
      <c r="M39" s="9" t="s">
        <v>562</v>
      </c>
      <c r="N39" s="9" t="s">
        <v>1640</v>
      </c>
    </row>
    <row r="40" customFormat="false" ht="68.25" hidden="false" customHeight="true" outlineLevel="0" collapsed="false">
      <c r="A40" s="9" t="s">
        <v>1848</v>
      </c>
      <c r="B40" s="9" t="s">
        <v>347</v>
      </c>
      <c r="C40" s="9" t="n">
        <v>4</v>
      </c>
      <c r="D40" s="9" t="s">
        <v>1652</v>
      </c>
      <c r="E40" s="9" t="s">
        <v>1849</v>
      </c>
      <c r="F40" s="9" t="s">
        <v>1850</v>
      </c>
      <c r="G40" s="9" t="s">
        <v>1851</v>
      </c>
      <c r="H40" s="9" t="s">
        <v>1667</v>
      </c>
      <c r="I40" s="9" t="s">
        <v>1852</v>
      </c>
      <c r="J40" s="9" t="s">
        <v>1853</v>
      </c>
      <c r="K40" s="9" t="s">
        <v>1659</v>
      </c>
      <c r="L40" s="9" t="s">
        <v>1660</v>
      </c>
      <c r="M40" s="9" t="s">
        <v>1661</v>
      </c>
      <c r="N40" s="9" t="s">
        <v>1662</v>
      </c>
    </row>
    <row r="41" customFormat="false" ht="68.25" hidden="false" customHeight="true" outlineLevel="0" collapsed="false">
      <c r="A41" s="9" t="s">
        <v>1854</v>
      </c>
      <c r="B41" s="9" t="s">
        <v>347</v>
      </c>
      <c r="C41" s="9" t="n">
        <v>5</v>
      </c>
      <c r="D41" s="9" t="s">
        <v>1652</v>
      </c>
      <c r="E41" s="9" t="s">
        <v>1855</v>
      </c>
      <c r="F41" s="9" t="s">
        <v>1856</v>
      </c>
      <c r="G41" s="9" t="s">
        <v>1857</v>
      </c>
      <c r="H41" s="9" t="s">
        <v>1754</v>
      </c>
      <c r="I41" s="9" t="s">
        <v>1858</v>
      </c>
      <c r="J41" s="9" t="s">
        <v>1853</v>
      </c>
      <c r="K41" s="9" t="s">
        <v>1659</v>
      </c>
      <c r="L41" s="9" t="s">
        <v>1660</v>
      </c>
      <c r="M41" s="9" t="s">
        <v>1661</v>
      </c>
      <c r="N41" s="9" t="s">
        <v>1662</v>
      </c>
    </row>
    <row r="42" customFormat="false" ht="68.25" hidden="false" customHeight="true" outlineLevel="0" collapsed="false">
      <c r="A42" s="9" t="s">
        <v>1859</v>
      </c>
      <c r="B42" s="9" t="s">
        <v>347</v>
      </c>
      <c r="C42" s="9" t="n">
        <v>6</v>
      </c>
      <c r="D42" s="9" t="s">
        <v>1652</v>
      </c>
      <c r="E42" s="9" t="s">
        <v>1860</v>
      </c>
      <c r="F42" s="9" t="s">
        <v>1861</v>
      </c>
      <c r="G42" s="9" t="s">
        <v>1706</v>
      </c>
      <c r="H42" s="9" t="s">
        <v>1667</v>
      </c>
      <c r="I42" s="9" t="s">
        <v>1862</v>
      </c>
      <c r="J42" s="9" t="s">
        <v>1853</v>
      </c>
      <c r="K42" s="9" t="s">
        <v>1659</v>
      </c>
      <c r="L42" s="9" t="s">
        <v>1660</v>
      </c>
      <c r="M42" s="9" t="s">
        <v>1661</v>
      </c>
      <c r="N42" s="9" t="s">
        <v>1662</v>
      </c>
    </row>
    <row r="43" customFormat="false" ht="54.75" hidden="false" customHeight="true" outlineLevel="0" collapsed="false">
      <c r="A43" s="9" t="s">
        <v>1863</v>
      </c>
      <c r="B43" s="9" t="s">
        <v>347</v>
      </c>
      <c r="C43" s="9" t="n">
        <v>7</v>
      </c>
      <c r="D43" s="9" t="s">
        <v>1676</v>
      </c>
      <c r="E43" s="9" t="s">
        <v>1677</v>
      </c>
      <c r="F43" s="9" t="s">
        <v>1864</v>
      </c>
      <c r="G43" s="9" t="s">
        <v>1679</v>
      </c>
      <c r="H43" s="9" t="s">
        <v>1680</v>
      </c>
      <c r="I43" s="9" t="s">
        <v>1865</v>
      </c>
      <c r="J43" s="9" t="s">
        <v>1866</v>
      </c>
      <c r="K43" s="9" t="s">
        <v>1683</v>
      </c>
      <c r="L43" s="9" t="s">
        <v>1684</v>
      </c>
      <c r="M43" s="9" t="s">
        <v>1685</v>
      </c>
      <c r="N43" s="9" t="s">
        <v>1686</v>
      </c>
    </row>
    <row r="44" customFormat="false" ht="41.25" hidden="false" customHeight="true" outlineLevel="0" collapsed="false">
      <c r="A44" s="9" t="s">
        <v>1867</v>
      </c>
      <c r="B44" s="9" t="s">
        <v>375</v>
      </c>
      <c r="C44" s="9" t="n">
        <v>1</v>
      </c>
      <c r="D44" s="9" t="s">
        <v>1631</v>
      </c>
      <c r="E44" s="9" t="s">
        <v>1868</v>
      </c>
      <c r="F44" s="9" t="s">
        <v>1869</v>
      </c>
      <c r="G44" s="9" t="s">
        <v>1634</v>
      </c>
      <c r="H44" s="9" t="s">
        <v>1870</v>
      </c>
      <c r="I44" s="9" t="s">
        <v>1871</v>
      </c>
      <c r="J44" s="9" t="s">
        <v>1872</v>
      </c>
      <c r="K44" s="9" t="s">
        <v>1638</v>
      </c>
      <c r="L44" s="9" t="s">
        <v>1639</v>
      </c>
      <c r="M44" s="9" t="s">
        <v>562</v>
      </c>
      <c r="N44" s="9" t="s">
        <v>1640</v>
      </c>
    </row>
    <row r="45" customFormat="false" ht="41.25" hidden="false" customHeight="true" outlineLevel="0" collapsed="false">
      <c r="A45" s="9" t="s">
        <v>1873</v>
      </c>
      <c r="B45" s="9" t="s">
        <v>375</v>
      </c>
      <c r="C45" s="9" t="n">
        <v>2</v>
      </c>
      <c r="D45" s="9" t="s">
        <v>1631</v>
      </c>
      <c r="E45" s="9" t="s">
        <v>1874</v>
      </c>
      <c r="F45" s="9" t="s">
        <v>1875</v>
      </c>
      <c r="G45" s="9" t="s">
        <v>1634</v>
      </c>
      <c r="H45" s="9" t="s">
        <v>1876</v>
      </c>
      <c r="I45" s="9" t="s">
        <v>1877</v>
      </c>
      <c r="J45" s="9" t="s">
        <v>1872</v>
      </c>
      <c r="K45" s="9" t="s">
        <v>1638</v>
      </c>
      <c r="L45" s="9" t="s">
        <v>1639</v>
      </c>
      <c r="M45" s="9" t="s">
        <v>562</v>
      </c>
      <c r="N45" s="9" t="s">
        <v>1640</v>
      </c>
    </row>
    <row r="46" customFormat="false" ht="41.25" hidden="false" customHeight="true" outlineLevel="0" collapsed="false">
      <c r="A46" s="9" t="s">
        <v>1878</v>
      </c>
      <c r="B46" s="9" t="s">
        <v>375</v>
      </c>
      <c r="C46" s="9" t="n">
        <v>3</v>
      </c>
      <c r="D46" s="9" t="s">
        <v>1631</v>
      </c>
      <c r="E46" s="9" t="s">
        <v>1879</v>
      </c>
      <c r="F46" s="9" t="s">
        <v>1880</v>
      </c>
      <c r="G46" s="9" t="s">
        <v>1634</v>
      </c>
      <c r="H46" s="9" t="s">
        <v>1881</v>
      </c>
      <c r="I46" s="9" t="s">
        <v>1882</v>
      </c>
      <c r="J46" s="9" t="s">
        <v>1872</v>
      </c>
      <c r="K46" s="9" t="s">
        <v>1638</v>
      </c>
      <c r="L46" s="9" t="s">
        <v>1639</v>
      </c>
      <c r="M46" s="9" t="s">
        <v>562</v>
      </c>
      <c r="N46" s="9" t="s">
        <v>1640</v>
      </c>
    </row>
    <row r="47" customFormat="false" ht="54.75" hidden="false" customHeight="true" outlineLevel="0" collapsed="false">
      <c r="A47" s="9" t="s">
        <v>1883</v>
      </c>
      <c r="B47" s="9" t="s">
        <v>375</v>
      </c>
      <c r="C47" s="9" t="n">
        <v>4</v>
      </c>
      <c r="D47" s="9" t="s">
        <v>1652</v>
      </c>
      <c r="E47" s="9" t="s">
        <v>1884</v>
      </c>
      <c r="F47" s="9" t="s">
        <v>1885</v>
      </c>
      <c r="G47" s="9" t="s">
        <v>1706</v>
      </c>
      <c r="H47" s="9" t="s">
        <v>1667</v>
      </c>
      <c r="I47" s="9" t="s">
        <v>1886</v>
      </c>
      <c r="J47" s="9" t="s">
        <v>1887</v>
      </c>
      <c r="K47" s="9" t="s">
        <v>1659</v>
      </c>
      <c r="L47" s="9" t="s">
        <v>1660</v>
      </c>
      <c r="M47" s="9" t="s">
        <v>1661</v>
      </c>
      <c r="N47" s="9" t="s">
        <v>1662</v>
      </c>
    </row>
    <row r="48" customFormat="false" ht="54.75" hidden="false" customHeight="true" outlineLevel="0" collapsed="false">
      <c r="A48" s="9" t="s">
        <v>1888</v>
      </c>
      <c r="B48" s="9" t="s">
        <v>375</v>
      </c>
      <c r="C48" s="9" t="n">
        <v>5</v>
      </c>
      <c r="D48" s="9" t="s">
        <v>1652</v>
      </c>
      <c r="E48" s="9" t="s">
        <v>1889</v>
      </c>
      <c r="F48" s="9" t="s">
        <v>1890</v>
      </c>
      <c r="G48" s="9" t="s">
        <v>1826</v>
      </c>
      <c r="H48" s="9" t="s">
        <v>1656</v>
      </c>
      <c r="I48" s="9" t="s">
        <v>1891</v>
      </c>
      <c r="J48" s="9" t="s">
        <v>1887</v>
      </c>
      <c r="K48" s="9" t="s">
        <v>1659</v>
      </c>
      <c r="L48" s="9" t="s">
        <v>1660</v>
      </c>
      <c r="M48" s="9" t="s">
        <v>1661</v>
      </c>
      <c r="N48" s="9" t="s">
        <v>1662</v>
      </c>
    </row>
    <row r="49" customFormat="false" ht="54.75" hidden="false" customHeight="true" outlineLevel="0" collapsed="false">
      <c r="A49" s="9" t="s">
        <v>1892</v>
      </c>
      <c r="B49" s="9" t="s">
        <v>375</v>
      </c>
      <c r="C49" s="9" t="n">
        <v>6</v>
      </c>
      <c r="D49" s="9" t="s">
        <v>1652</v>
      </c>
      <c r="E49" s="9" t="s">
        <v>1893</v>
      </c>
      <c r="F49" s="9" t="s">
        <v>1894</v>
      </c>
      <c r="G49" s="9" t="s">
        <v>1895</v>
      </c>
      <c r="H49" s="9" t="s">
        <v>1754</v>
      </c>
      <c r="I49" s="9" t="s">
        <v>1896</v>
      </c>
      <c r="J49" s="9" t="s">
        <v>1887</v>
      </c>
      <c r="K49" s="9" t="s">
        <v>1659</v>
      </c>
      <c r="L49" s="9" t="s">
        <v>1660</v>
      </c>
      <c r="M49" s="9" t="s">
        <v>1661</v>
      </c>
      <c r="N49" s="9" t="s">
        <v>1662</v>
      </c>
    </row>
    <row r="50" customFormat="false" ht="41.25" hidden="false" customHeight="true" outlineLevel="0" collapsed="false">
      <c r="A50" s="9" t="s">
        <v>1897</v>
      </c>
      <c r="B50" s="9" t="s">
        <v>375</v>
      </c>
      <c r="C50" s="9" t="n">
        <v>7</v>
      </c>
      <c r="D50" s="9" t="s">
        <v>1676</v>
      </c>
      <c r="E50" s="9" t="s">
        <v>1677</v>
      </c>
      <c r="F50" s="9" t="s">
        <v>1898</v>
      </c>
      <c r="G50" s="9" t="s">
        <v>1679</v>
      </c>
      <c r="H50" s="9" t="s">
        <v>1680</v>
      </c>
      <c r="I50" s="9" t="s">
        <v>1899</v>
      </c>
      <c r="J50" s="9" t="s">
        <v>1900</v>
      </c>
      <c r="K50" s="9" t="s">
        <v>1683</v>
      </c>
      <c r="L50" s="9" t="s">
        <v>1684</v>
      </c>
      <c r="M50" s="9" t="s">
        <v>1685</v>
      </c>
      <c r="N50" s="9" t="s">
        <v>1686</v>
      </c>
    </row>
    <row r="51" customFormat="false" ht="41.25" hidden="false" customHeight="true" outlineLevel="0" collapsed="false">
      <c r="A51" s="9" t="s">
        <v>1901</v>
      </c>
      <c r="B51" s="9" t="s">
        <v>402</v>
      </c>
      <c r="C51" s="9" t="n">
        <v>1</v>
      </c>
      <c r="D51" s="9" t="s">
        <v>1631</v>
      </c>
      <c r="E51" s="9" t="s">
        <v>1902</v>
      </c>
      <c r="F51" s="9" t="s">
        <v>1903</v>
      </c>
      <c r="G51" s="9" t="s">
        <v>1634</v>
      </c>
      <c r="H51" s="9" t="s">
        <v>1904</v>
      </c>
      <c r="I51" s="9" t="s">
        <v>1905</v>
      </c>
      <c r="J51" s="9" t="s">
        <v>1906</v>
      </c>
      <c r="K51" s="9" t="s">
        <v>1638</v>
      </c>
      <c r="L51" s="9" t="s">
        <v>1639</v>
      </c>
      <c r="M51" s="9" t="s">
        <v>562</v>
      </c>
      <c r="N51" s="9" t="s">
        <v>1640</v>
      </c>
    </row>
    <row r="52" customFormat="false" ht="41.25" hidden="false" customHeight="true" outlineLevel="0" collapsed="false">
      <c r="A52" s="9" t="s">
        <v>1907</v>
      </c>
      <c r="B52" s="9" t="s">
        <v>402</v>
      </c>
      <c r="C52" s="9" t="n">
        <v>2</v>
      </c>
      <c r="D52" s="9" t="s">
        <v>1631</v>
      </c>
      <c r="E52" s="9" t="s">
        <v>1908</v>
      </c>
      <c r="F52" s="9" t="s">
        <v>1909</v>
      </c>
      <c r="G52" s="9" t="s">
        <v>1634</v>
      </c>
      <c r="H52" s="9" t="s">
        <v>1910</v>
      </c>
      <c r="I52" s="9" t="s">
        <v>1911</v>
      </c>
      <c r="J52" s="9" t="s">
        <v>1906</v>
      </c>
      <c r="K52" s="9" t="s">
        <v>1638</v>
      </c>
      <c r="L52" s="9" t="s">
        <v>1639</v>
      </c>
      <c r="M52" s="9" t="s">
        <v>562</v>
      </c>
      <c r="N52" s="9" t="s">
        <v>1640</v>
      </c>
    </row>
    <row r="53" customFormat="false" ht="41.25" hidden="false" customHeight="true" outlineLevel="0" collapsed="false">
      <c r="A53" s="9" t="s">
        <v>1912</v>
      </c>
      <c r="B53" s="9" t="s">
        <v>402</v>
      </c>
      <c r="C53" s="9" t="n">
        <v>3</v>
      </c>
      <c r="D53" s="9" t="s">
        <v>1631</v>
      </c>
      <c r="E53" s="9" t="s">
        <v>1913</v>
      </c>
      <c r="F53" s="9" t="s">
        <v>1914</v>
      </c>
      <c r="G53" s="9" t="s">
        <v>1634</v>
      </c>
      <c r="H53" s="9" t="s">
        <v>1915</v>
      </c>
      <c r="I53" s="9" t="s">
        <v>1916</v>
      </c>
      <c r="J53" s="9" t="s">
        <v>1906</v>
      </c>
      <c r="K53" s="9" t="s">
        <v>1638</v>
      </c>
      <c r="L53" s="9" t="s">
        <v>1639</v>
      </c>
      <c r="M53" s="9" t="s">
        <v>562</v>
      </c>
      <c r="N53" s="9" t="s">
        <v>1640</v>
      </c>
    </row>
    <row r="54" customFormat="false" ht="54.75" hidden="false" customHeight="true" outlineLevel="0" collapsed="false">
      <c r="A54" s="9" t="s">
        <v>1917</v>
      </c>
      <c r="B54" s="9" t="s">
        <v>402</v>
      </c>
      <c r="C54" s="9" t="n">
        <v>4</v>
      </c>
      <c r="D54" s="9" t="s">
        <v>1652</v>
      </c>
      <c r="E54" s="9" t="s">
        <v>1918</v>
      </c>
      <c r="F54" s="9" t="s">
        <v>1919</v>
      </c>
      <c r="G54" s="9" t="s">
        <v>1920</v>
      </c>
      <c r="H54" s="9" t="s">
        <v>1713</v>
      </c>
      <c r="I54" s="9" t="s">
        <v>1921</v>
      </c>
      <c r="J54" s="9" t="s">
        <v>1922</v>
      </c>
      <c r="K54" s="9" t="s">
        <v>1659</v>
      </c>
      <c r="L54" s="9" t="s">
        <v>1660</v>
      </c>
      <c r="M54" s="9" t="s">
        <v>1661</v>
      </c>
      <c r="N54" s="9" t="s">
        <v>1662</v>
      </c>
    </row>
    <row r="55" customFormat="false" ht="54.75" hidden="false" customHeight="true" outlineLevel="0" collapsed="false">
      <c r="A55" s="9" t="s">
        <v>1923</v>
      </c>
      <c r="B55" s="9" t="s">
        <v>402</v>
      </c>
      <c r="C55" s="9" t="n">
        <v>5</v>
      </c>
      <c r="D55" s="9" t="s">
        <v>1652</v>
      </c>
      <c r="E55" s="9" t="s">
        <v>1924</v>
      </c>
      <c r="F55" s="9" t="s">
        <v>1925</v>
      </c>
      <c r="G55" s="9" t="s">
        <v>1926</v>
      </c>
      <c r="H55" s="9" t="s">
        <v>1673</v>
      </c>
      <c r="I55" s="9" t="s">
        <v>1927</v>
      </c>
      <c r="J55" s="9" t="s">
        <v>1922</v>
      </c>
      <c r="K55" s="9" t="s">
        <v>1659</v>
      </c>
      <c r="L55" s="9" t="s">
        <v>1660</v>
      </c>
      <c r="M55" s="9" t="s">
        <v>1661</v>
      </c>
      <c r="N55" s="9" t="s">
        <v>1662</v>
      </c>
    </row>
    <row r="56" customFormat="false" ht="54.75" hidden="false" customHeight="true" outlineLevel="0" collapsed="false">
      <c r="A56" s="9" t="s">
        <v>1928</v>
      </c>
      <c r="B56" s="9" t="s">
        <v>402</v>
      </c>
      <c r="C56" s="9" t="n">
        <v>6</v>
      </c>
      <c r="D56" s="9" t="s">
        <v>1652</v>
      </c>
      <c r="E56" s="9" t="s">
        <v>1929</v>
      </c>
      <c r="F56" s="9" t="s">
        <v>1930</v>
      </c>
      <c r="G56" s="9" t="s">
        <v>1931</v>
      </c>
      <c r="H56" s="9" t="s">
        <v>1754</v>
      </c>
      <c r="I56" s="9" t="s">
        <v>1932</v>
      </c>
      <c r="J56" s="9" t="s">
        <v>1922</v>
      </c>
      <c r="K56" s="9" t="s">
        <v>1659</v>
      </c>
      <c r="L56" s="9" t="s">
        <v>1660</v>
      </c>
      <c r="M56" s="9" t="s">
        <v>1661</v>
      </c>
      <c r="N56" s="9" t="s">
        <v>1662</v>
      </c>
    </row>
    <row r="57" customFormat="false" ht="41.25" hidden="false" customHeight="true" outlineLevel="0" collapsed="false">
      <c r="A57" s="9" t="s">
        <v>1933</v>
      </c>
      <c r="B57" s="9" t="s">
        <v>402</v>
      </c>
      <c r="C57" s="9" t="n">
        <v>7</v>
      </c>
      <c r="D57" s="9" t="s">
        <v>1676</v>
      </c>
      <c r="E57" s="9" t="s">
        <v>1677</v>
      </c>
      <c r="F57" s="9" t="s">
        <v>1934</v>
      </c>
      <c r="G57" s="9" t="s">
        <v>1679</v>
      </c>
      <c r="H57" s="9" t="s">
        <v>1680</v>
      </c>
      <c r="I57" s="9" t="s">
        <v>1935</v>
      </c>
      <c r="J57" s="9" t="s">
        <v>1936</v>
      </c>
      <c r="K57" s="9" t="s">
        <v>1683</v>
      </c>
      <c r="L57" s="9" t="s">
        <v>1684</v>
      </c>
      <c r="M57" s="9" t="s">
        <v>1685</v>
      </c>
      <c r="N57" s="9" t="s">
        <v>1686</v>
      </c>
    </row>
    <row r="58" customFormat="false" ht="54.75" hidden="false" customHeight="true" outlineLevel="0" collapsed="false">
      <c r="A58" s="9" t="s">
        <v>1937</v>
      </c>
      <c r="B58" s="9" t="s">
        <v>435</v>
      </c>
      <c r="C58" s="9" t="n">
        <v>1</v>
      </c>
      <c r="D58" s="9" t="s">
        <v>1631</v>
      </c>
      <c r="E58" s="9" t="s">
        <v>1938</v>
      </c>
      <c r="F58" s="9" t="s">
        <v>1939</v>
      </c>
      <c r="G58" s="9" t="s">
        <v>1634</v>
      </c>
      <c r="H58" s="9" t="s">
        <v>1940</v>
      </c>
      <c r="I58" s="9" t="s">
        <v>1941</v>
      </c>
      <c r="J58" s="9" t="s">
        <v>1942</v>
      </c>
      <c r="K58" s="9" t="s">
        <v>1638</v>
      </c>
      <c r="L58" s="9" t="s">
        <v>1639</v>
      </c>
      <c r="M58" s="9" t="s">
        <v>562</v>
      </c>
      <c r="N58" s="9" t="s">
        <v>1640</v>
      </c>
    </row>
    <row r="59" customFormat="false" ht="54.75" hidden="false" customHeight="true" outlineLevel="0" collapsed="false">
      <c r="A59" s="9" t="s">
        <v>1943</v>
      </c>
      <c r="B59" s="9" t="s">
        <v>435</v>
      </c>
      <c r="C59" s="9" t="n">
        <v>2</v>
      </c>
      <c r="D59" s="9" t="s">
        <v>1631</v>
      </c>
      <c r="E59" s="9" t="s">
        <v>1944</v>
      </c>
      <c r="F59" s="9" t="s">
        <v>1945</v>
      </c>
      <c r="G59" s="9" t="s">
        <v>1634</v>
      </c>
      <c r="H59" s="9" t="s">
        <v>1946</v>
      </c>
      <c r="I59" s="9" t="s">
        <v>1947</v>
      </c>
      <c r="J59" s="9" t="s">
        <v>1942</v>
      </c>
      <c r="K59" s="9" t="s">
        <v>1638</v>
      </c>
      <c r="L59" s="9" t="s">
        <v>1639</v>
      </c>
      <c r="M59" s="9" t="s">
        <v>562</v>
      </c>
      <c r="N59" s="9" t="s">
        <v>1640</v>
      </c>
    </row>
    <row r="60" customFormat="false" ht="54.75" hidden="false" customHeight="true" outlineLevel="0" collapsed="false">
      <c r="A60" s="9" t="s">
        <v>1948</v>
      </c>
      <c r="B60" s="9" t="s">
        <v>435</v>
      </c>
      <c r="C60" s="9" t="n">
        <v>3</v>
      </c>
      <c r="D60" s="9" t="s">
        <v>1631</v>
      </c>
      <c r="E60" s="9" t="s">
        <v>1949</v>
      </c>
      <c r="F60" s="9" t="s">
        <v>1950</v>
      </c>
      <c r="G60" s="9" t="s">
        <v>1634</v>
      </c>
      <c r="H60" s="9" t="s">
        <v>1951</v>
      </c>
      <c r="I60" s="9" t="s">
        <v>1952</v>
      </c>
      <c r="J60" s="9" t="s">
        <v>1942</v>
      </c>
      <c r="K60" s="9" t="s">
        <v>1638</v>
      </c>
      <c r="L60" s="9" t="s">
        <v>1639</v>
      </c>
      <c r="M60" s="9" t="s">
        <v>562</v>
      </c>
      <c r="N60" s="9" t="s">
        <v>1640</v>
      </c>
    </row>
    <row r="61" customFormat="false" ht="54.75" hidden="false" customHeight="true" outlineLevel="0" collapsed="false">
      <c r="A61" s="9" t="s">
        <v>1953</v>
      </c>
      <c r="B61" s="9" t="s">
        <v>435</v>
      </c>
      <c r="C61" s="9" t="n">
        <v>4</v>
      </c>
      <c r="D61" s="9" t="s">
        <v>1652</v>
      </c>
      <c r="E61" s="9" t="s">
        <v>1954</v>
      </c>
      <c r="F61" s="9" t="s">
        <v>1955</v>
      </c>
      <c r="G61" s="9" t="s">
        <v>1826</v>
      </c>
      <c r="H61" s="9" t="s">
        <v>1656</v>
      </c>
      <c r="I61" s="9" t="s">
        <v>1956</v>
      </c>
      <c r="J61" s="9" t="s">
        <v>1957</v>
      </c>
      <c r="K61" s="9" t="s">
        <v>1659</v>
      </c>
      <c r="L61" s="9" t="s">
        <v>1660</v>
      </c>
      <c r="M61" s="9" t="s">
        <v>1661</v>
      </c>
      <c r="N61" s="9" t="s">
        <v>1662</v>
      </c>
    </row>
    <row r="62" customFormat="false" ht="54.75" hidden="false" customHeight="true" outlineLevel="0" collapsed="false">
      <c r="A62" s="9" t="s">
        <v>1958</v>
      </c>
      <c r="B62" s="9" t="s">
        <v>435</v>
      </c>
      <c r="C62" s="9" t="n">
        <v>5</v>
      </c>
      <c r="D62" s="9" t="s">
        <v>1652</v>
      </c>
      <c r="E62" s="9" t="s">
        <v>1959</v>
      </c>
      <c r="F62" s="9" t="s">
        <v>1960</v>
      </c>
      <c r="G62" s="9" t="s">
        <v>1706</v>
      </c>
      <c r="H62" s="9" t="s">
        <v>1667</v>
      </c>
      <c r="I62" s="9" t="s">
        <v>1961</v>
      </c>
      <c r="J62" s="9" t="s">
        <v>1957</v>
      </c>
      <c r="K62" s="9" t="s">
        <v>1659</v>
      </c>
      <c r="L62" s="9" t="s">
        <v>1660</v>
      </c>
      <c r="M62" s="9" t="s">
        <v>1661</v>
      </c>
      <c r="N62" s="9" t="s">
        <v>1662</v>
      </c>
    </row>
    <row r="63" customFormat="false" ht="54.75" hidden="false" customHeight="true" outlineLevel="0" collapsed="false">
      <c r="A63" s="9" t="s">
        <v>1962</v>
      </c>
      <c r="B63" s="9" t="s">
        <v>435</v>
      </c>
      <c r="C63" s="9" t="n">
        <v>6</v>
      </c>
      <c r="D63" s="9" t="s">
        <v>1652</v>
      </c>
      <c r="E63" s="9" t="s">
        <v>1963</v>
      </c>
      <c r="F63" s="9" t="s">
        <v>1964</v>
      </c>
      <c r="G63" s="9" t="s">
        <v>1965</v>
      </c>
      <c r="H63" s="9" t="s">
        <v>1754</v>
      </c>
      <c r="I63" s="9" t="s">
        <v>1966</v>
      </c>
      <c r="J63" s="9" t="s">
        <v>1957</v>
      </c>
      <c r="K63" s="9" t="s">
        <v>1659</v>
      </c>
      <c r="L63" s="9" t="s">
        <v>1660</v>
      </c>
      <c r="M63" s="9" t="s">
        <v>1661</v>
      </c>
      <c r="N63" s="9" t="s">
        <v>1662</v>
      </c>
    </row>
    <row r="64" customFormat="false" ht="54.75" hidden="false" customHeight="true" outlineLevel="0" collapsed="false">
      <c r="A64" s="9" t="s">
        <v>1967</v>
      </c>
      <c r="B64" s="9" t="s">
        <v>435</v>
      </c>
      <c r="C64" s="9" t="n">
        <v>7</v>
      </c>
      <c r="D64" s="9" t="s">
        <v>1676</v>
      </c>
      <c r="E64" s="9" t="s">
        <v>1677</v>
      </c>
      <c r="F64" s="9" t="s">
        <v>1968</v>
      </c>
      <c r="G64" s="9" t="s">
        <v>1679</v>
      </c>
      <c r="H64" s="9" t="s">
        <v>1680</v>
      </c>
      <c r="I64" s="9" t="s">
        <v>1969</v>
      </c>
      <c r="J64" s="9" t="s">
        <v>1970</v>
      </c>
      <c r="K64" s="9" t="s">
        <v>1683</v>
      </c>
      <c r="L64" s="9" t="s">
        <v>1684</v>
      </c>
      <c r="M64" s="9" t="s">
        <v>1685</v>
      </c>
      <c r="N64" s="9" t="s">
        <v>1686</v>
      </c>
    </row>
    <row r="65" customFormat="false" ht="41.25" hidden="false" customHeight="true" outlineLevel="0" collapsed="false">
      <c r="A65" s="9" t="s">
        <v>1971</v>
      </c>
      <c r="B65" s="9" t="s">
        <v>465</v>
      </c>
      <c r="C65" s="9" t="n">
        <v>1</v>
      </c>
      <c r="D65" s="9" t="s">
        <v>1631</v>
      </c>
      <c r="E65" s="9" t="s">
        <v>1972</v>
      </c>
      <c r="F65" s="9" t="s">
        <v>1973</v>
      </c>
      <c r="G65" s="9" t="s">
        <v>1634</v>
      </c>
      <c r="H65" s="9" t="s">
        <v>1974</v>
      </c>
      <c r="I65" s="9" t="s">
        <v>1975</v>
      </c>
      <c r="J65" s="9" t="s">
        <v>1976</v>
      </c>
      <c r="K65" s="9" t="s">
        <v>1638</v>
      </c>
      <c r="L65" s="9" t="s">
        <v>1639</v>
      </c>
      <c r="M65" s="9" t="s">
        <v>562</v>
      </c>
      <c r="N65" s="9" t="s">
        <v>1640</v>
      </c>
    </row>
    <row r="66" customFormat="false" ht="41.25" hidden="false" customHeight="true" outlineLevel="0" collapsed="false">
      <c r="A66" s="9" t="s">
        <v>1977</v>
      </c>
      <c r="B66" s="9" t="s">
        <v>465</v>
      </c>
      <c r="C66" s="9" t="n">
        <v>2</v>
      </c>
      <c r="D66" s="9" t="s">
        <v>1631</v>
      </c>
      <c r="E66" s="9" t="s">
        <v>1978</v>
      </c>
      <c r="F66" s="9" t="s">
        <v>1979</v>
      </c>
      <c r="G66" s="9" t="s">
        <v>1634</v>
      </c>
      <c r="H66" s="9" t="s">
        <v>1980</v>
      </c>
      <c r="I66" s="9" t="s">
        <v>1981</v>
      </c>
      <c r="J66" s="9" t="s">
        <v>1976</v>
      </c>
      <c r="K66" s="9" t="s">
        <v>1638</v>
      </c>
      <c r="L66" s="9" t="s">
        <v>1639</v>
      </c>
      <c r="M66" s="9" t="s">
        <v>562</v>
      </c>
      <c r="N66" s="9" t="s">
        <v>1640</v>
      </c>
    </row>
    <row r="67" customFormat="false" ht="41.25" hidden="false" customHeight="true" outlineLevel="0" collapsed="false">
      <c r="A67" s="9" t="s">
        <v>1982</v>
      </c>
      <c r="B67" s="9" t="s">
        <v>465</v>
      </c>
      <c r="C67" s="9" t="n">
        <v>3</v>
      </c>
      <c r="D67" s="9" t="s">
        <v>1631</v>
      </c>
      <c r="E67" s="9" t="s">
        <v>1983</v>
      </c>
      <c r="F67" s="9" t="s">
        <v>1984</v>
      </c>
      <c r="G67" s="9" t="s">
        <v>1634</v>
      </c>
      <c r="H67" s="9" t="s">
        <v>1985</v>
      </c>
      <c r="I67" s="9" t="s">
        <v>1986</v>
      </c>
      <c r="J67" s="9" t="s">
        <v>1976</v>
      </c>
      <c r="K67" s="9" t="s">
        <v>1638</v>
      </c>
      <c r="L67" s="9" t="s">
        <v>1639</v>
      </c>
      <c r="M67" s="9" t="s">
        <v>562</v>
      </c>
      <c r="N67" s="9" t="s">
        <v>1640</v>
      </c>
    </row>
    <row r="68" customFormat="false" ht="54.75" hidden="false" customHeight="true" outlineLevel="0" collapsed="false">
      <c r="A68" s="9" t="s">
        <v>1987</v>
      </c>
      <c r="B68" s="9" t="s">
        <v>465</v>
      </c>
      <c r="C68" s="9" t="n">
        <v>4</v>
      </c>
      <c r="D68" s="9" t="s">
        <v>1652</v>
      </c>
      <c r="E68" s="9" t="s">
        <v>1988</v>
      </c>
      <c r="F68" s="9" t="s">
        <v>1989</v>
      </c>
      <c r="G68" s="9" t="s">
        <v>1779</v>
      </c>
      <c r="H68" s="9" t="s">
        <v>1713</v>
      </c>
      <c r="I68" s="9" t="s">
        <v>1990</v>
      </c>
      <c r="J68" s="9" t="s">
        <v>1991</v>
      </c>
      <c r="K68" s="9" t="s">
        <v>1659</v>
      </c>
      <c r="L68" s="9" t="s">
        <v>1660</v>
      </c>
      <c r="M68" s="9" t="s">
        <v>1661</v>
      </c>
      <c r="N68" s="9" t="s">
        <v>1662</v>
      </c>
    </row>
    <row r="69" customFormat="false" ht="54.75" hidden="false" customHeight="true" outlineLevel="0" collapsed="false">
      <c r="A69" s="9" t="s">
        <v>1992</v>
      </c>
      <c r="B69" s="9" t="s">
        <v>465</v>
      </c>
      <c r="C69" s="9" t="n">
        <v>5</v>
      </c>
      <c r="D69" s="9" t="s">
        <v>1652</v>
      </c>
      <c r="E69" s="9" t="s">
        <v>1993</v>
      </c>
      <c r="F69" s="9" t="s">
        <v>1994</v>
      </c>
      <c r="G69" s="9" t="s">
        <v>1826</v>
      </c>
      <c r="H69" s="9" t="s">
        <v>1656</v>
      </c>
      <c r="I69" s="9" t="s">
        <v>1995</v>
      </c>
      <c r="J69" s="9" t="s">
        <v>1991</v>
      </c>
      <c r="K69" s="9" t="s">
        <v>1659</v>
      </c>
      <c r="L69" s="9" t="s">
        <v>1660</v>
      </c>
      <c r="M69" s="9" t="s">
        <v>1661</v>
      </c>
      <c r="N69" s="9" t="s">
        <v>1662</v>
      </c>
    </row>
    <row r="70" customFormat="false" ht="54.75" hidden="false" customHeight="true" outlineLevel="0" collapsed="false">
      <c r="A70" s="9" t="s">
        <v>1996</v>
      </c>
      <c r="B70" s="9" t="s">
        <v>465</v>
      </c>
      <c r="C70" s="9" t="n">
        <v>6</v>
      </c>
      <c r="D70" s="9" t="s">
        <v>1652</v>
      </c>
      <c r="E70" s="9" t="s">
        <v>1924</v>
      </c>
      <c r="F70" s="9" t="s">
        <v>1925</v>
      </c>
      <c r="G70" s="9" t="s">
        <v>1672</v>
      </c>
      <c r="H70" s="9" t="s">
        <v>1673</v>
      </c>
      <c r="I70" s="9" t="s">
        <v>1997</v>
      </c>
      <c r="J70" s="9" t="s">
        <v>1991</v>
      </c>
      <c r="K70" s="9" t="s">
        <v>1659</v>
      </c>
      <c r="L70" s="9" t="s">
        <v>1660</v>
      </c>
      <c r="M70" s="9" t="s">
        <v>1661</v>
      </c>
      <c r="N70" s="9" t="s">
        <v>1662</v>
      </c>
    </row>
    <row r="71" customFormat="false" ht="41.25" hidden="false" customHeight="true" outlineLevel="0" collapsed="false">
      <c r="A71" s="9" t="s">
        <v>1998</v>
      </c>
      <c r="B71" s="9" t="s">
        <v>465</v>
      </c>
      <c r="C71" s="9" t="n">
        <v>7</v>
      </c>
      <c r="D71" s="9" t="s">
        <v>1676</v>
      </c>
      <c r="E71" s="9" t="s">
        <v>1677</v>
      </c>
      <c r="F71" s="9" t="s">
        <v>1999</v>
      </c>
      <c r="G71" s="9" t="s">
        <v>1679</v>
      </c>
      <c r="H71" s="9" t="s">
        <v>1680</v>
      </c>
      <c r="I71" s="9" t="s">
        <v>2000</v>
      </c>
      <c r="J71" s="9" t="s">
        <v>2001</v>
      </c>
      <c r="K71" s="9" t="s">
        <v>1683</v>
      </c>
      <c r="L71" s="9" t="s">
        <v>1684</v>
      </c>
      <c r="M71" s="9" t="s">
        <v>1685</v>
      </c>
      <c r="N71" s="9" t="s">
        <v>1686</v>
      </c>
    </row>
    <row r="72" customFormat="false" ht="41.25" hidden="false" customHeight="true" outlineLevel="0" collapsed="false">
      <c r="A72" s="9" t="s">
        <v>2002</v>
      </c>
      <c r="B72" s="9" t="s">
        <v>495</v>
      </c>
      <c r="C72" s="9" t="n">
        <v>1</v>
      </c>
      <c r="D72" s="9" t="s">
        <v>1631</v>
      </c>
      <c r="E72" s="9" t="s">
        <v>2003</v>
      </c>
      <c r="F72" s="9" t="s">
        <v>2004</v>
      </c>
      <c r="G72" s="9" t="s">
        <v>1634</v>
      </c>
      <c r="H72" s="9" t="s">
        <v>2005</v>
      </c>
      <c r="I72" s="9" t="s">
        <v>2006</v>
      </c>
      <c r="J72" s="9" t="s">
        <v>2007</v>
      </c>
      <c r="K72" s="9" t="s">
        <v>1638</v>
      </c>
      <c r="L72" s="9" t="s">
        <v>1639</v>
      </c>
      <c r="M72" s="9" t="s">
        <v>562</v>
      </c>
      <c r="N72" s="9" t="s">
        <v>1640</v>
      </c>
    </row>
    <row r="73" customFormat="false" ht="41.25" hidden="false" customHeight="true" outlineLevel="0" collapsed="false">
      <c r="A73" s="9" t="s">
        <v>2008</v>
      </c>
      <c r="B73" s="9" t="s">
        <v>495</v>
      </c>
      <c r="C73" s="9" t="n">
        <v>2</v>
      </c>
      <c r="D73" s="9" t="s">
        <v>1631</v>
      </c>
      <c r="E73" s="9" t="s">
        <v>2009</v>
      </c>
      <c r="F73" s="9" t="s">
        <v>2010</v>
      </c>
      <c r="G73" s="9" t="s">
        <v>1634</v>
      </c>
      <c r="H73" s="9" t="s">
        <v>2011</v>
      </c>
      <c r="I73" s="9" t="s">
        <v>2012</v>
      </c>
      <c r="J73" s="9" t="s">
        <v>2007</v>
      </c>
      <c r="K73" s="9" t="s">
        <v>1638</v>
      </c>
      <c r="L73" s="9" t="s">
        <v>1639</v>
      </c>
      <c r="M73" s="9" t="s">
        <v>562</v>
      </c>
      <c r="N73" s="9" t="s">
        <v>1640</v>
      </c>
    </row>
    <row r="74" customFormat="false" ht="41.25" hidden="false" customHeight="true" outlineLevel="0" collapsed="false">
      <c r="A74" s="9" t="s">
        <v>2013</v>
      </c>
      <c r="B74" s="9" t="s">
        <v>495</v>
      </c>
      <c r="C74" s="9" t="n">
        <v>3</v>
      </c>
      <c r="D74" s="9" t="s">
        <v>1631</v>
      </c>
      <c r="E74" s="9" t="s">
        <v>2014</v>
      </c>
      <c r="F74" s="9" t="s">
        <v>2015</v>
      </c>
      <c r="G74" s="9" t="s">
        <v>1634</v>
      </c>
      <c r="H74" s="9" t="s">
        <v>2016</v>
      </c>
      <c r="I74" s="9" t="s">
        <v>2017</v>
      </c>
      <c r="J74" s="9" t="s">
        <v>2007</v>
      </c>
      <c r="K74" s="9" t="s">
        <v>1638</v>
      </c>
      <c r="L74" s="9" t="s">
        <v>1639</v>
      </c>
      <c r="M74" s="9" t="s">
        <v>562</v>
      </c>
      <c r="N74" s="9" t="s">
        <v>1640</v>
      </c>
    </row>
    <row r="75" customFormat="false" ht="54.75" hidden="false" customHeight="true" outlineLevel="0" collapsed="false">
      <c r="A75" s="9" t="s">
        <v>2018</v>
      </c>
      <c r="B75" s="9" t="s">
        <v>495</v>
      </c>
      <c r="C75" s="9" t="n">
        <v>4</v>
      </c>
      <c r="D75" s="9" t="s">
        <v>1652</v>
      </c>
      <c r="E75" s="9" t="s">
        <v>1783</v>
      </c>
      <c r="F75" s="9" t="s">
        <v>1784</v>
      </c>
      <c r="G75" s="9" t="s">
        <v>2019</v>
      </c>
      <c r="H75" s="9" t="s">
        <v>1713</v>
      </c>
      <c r="I75" s="9" t="s">
        <v>2020</v>
      </c>
      <c r="J75" s="9" t="s">
        <v>2021</v>
      </c>
      <c r="K75" s="9" t="s">
        <v>1659</v>
      </c>
      <c r="L75" s="9" t="s">
        <v>1660</v>
      </c>
      <c r="M75" s="9" t="s">
        <v>1661</v>
      </c>
      <c r="N75" s="9" t="s">
        <v>1662</v>
      </c>
    </row>
    <row r="76" customFormat="false" ht="54.75" hidden="false" customHeight="true" outlineLevel="0" collapsed="false">
      <c r="A76" s="9" t="s">
        <v>2022</v>
      </c>
      <c r="B76" s="9" t="s">
        <v>495</v>
      </c>
      <c r="C76" s="9" t="n">
        <v>5</v>
      </c>
      <c r="D76" s="9" t="s">
        <v>1652</v>
      </c>
      <c r="E76" s="9" t="s">
        <v>2023</v>
      </c>
      <c r="F76" s="9" t="s">
        <v>2024</v>
      </c>
      <c r="G76" s="9" t="s">
        <v>2025</v>
      </c>
      <c r="H76" s="9" t="s">
        <v>1673</v>
      </c>
      <c r="I76" s="9" t="s">
        <v>2026</v>
      </c>
      <c r="J76" s="9" t="s">
        <v>2021</v>
      </c>
      <c r="K76" s="9" t="s">
        <v>1659</v>
      </c>
      <c r="L76" s="9" t="s">
        <v>1660</v>
      </c>
      <c r="M76" s="9" t="s">
        <v>1661</v>
      </c>
      <c r="N76" s="9" t="s">
        <v>1662</v>
      </c>
    </row>
    <row r="77" customFormat="false" ht="54.75" hidden="false" customHeight="true" outlineLevel="0" collapsed="false">
      <c r="A77" s="9" t="s">
        <v>2027</v>
      </c>
      <c r="B77" s="9" t="s">
        <v>495</v>
      </c>
      <c r="C77" s="9" t="n">
        <v>6</v>
      </c>
      <c r="D77" s="9" t="s">
        <v>1652</v>
      </c>
      <c r="E77" s="9" t="s">
        <v>2028</v>
      </c>
      <c r="F77" s="9" t="s">
        <v>2029</v>
      </c>
      <c r="G77" s="9" t="s">
        <v>2030</v>
      </c>
      <c r="H77" s="9" t="s">
        <v>2031</v>
      </c>
      <c r="I77" s="9" t="s">
        <v>2032</v>
      </c>
      <c r="J77" s="9" t="s">
        <v>2021</v>
      </c>
      <c r="K77" s="9" t="s">
        <v>1659</v>
      </c>
      <c r="L77" s="9" t="s">
        <v>1660</v>
      </c>
      <c r="M77" s="9" t="s">
        <v>1661</v>
      </c>
      <c r="N77" s="9" t="s">
        <v>1662</v>
      </c>
    </row>
    <row r="78" customFormat="false" ht="41.25" hidden="false" customHeight="true" outlineLevel="0" collapsed="false">
      <c r="A78" s="9" t="s">
        <v>2033</v>
      </c>
      <c r="B78" s="9" t="s">
        <v>495</v>
      </c>
      <c r="C78" s="9" t="n">
        <v>7</v>
      </c>
      <c r="D78" s="9" t="s">
        <v>1676</v>
      </c>
      <c r="E78" s="9" t="s">
        <v>1677</v>
      </c>
      <c r="F78" s="9" t="s">
        <v>2034</v>
      </c>
      <c r="G78" s="9" t="s">
        <v>1679</v>
      </c>
      <c r="H78" s="9" t="s">
        <v>1680</v>
      </c>
      <c r="I78" s="9" t="s">
        <v>2035</v>
      </c>
      <c r="J78" s="9" t="s">
        <v>2036</v>
      </c>
      <c r="K78" s="9" t="s">
        <v>1683</v>
      </c>
      <c r="L78" s="9" t="s">
        <v>1684</v>
      </c>
      <c r="M78" s="9" t="s">
        <v>1685</v>
      </c>
      <c r="N78" s="9" t="s">
        <v>1686</v>
      </c>
    </row>
    <row r="79" customFormat="false" ht="41.25" hidden="false" customHeight="true" outlineLevel="0" collapsed="false">
      <c r="A79" s="9" t="s">
        <v>2037</v>
      </c>
      <c r="B79" s="9" t="s">
        <v>522</v>
      </c>
      <c r="C79" s="9" t="n">
        <v>1</v>
      </c>
      <c r="D79" s="9" t="s">
        <v>1631</v>
      </c>
      <c r="E79" s="9" t="s">
        <v>2038</v>
      </c>
      <c r="F79" s="9" t="s">
        <v>2039</v>
      </c>
      <c r="G79" s="9" t="s">
        <v>1634</v>
      </c>
      <c r="H79" s="9" t="s">
        <v>2040</v>
      </c>
      <c r="I79" s="9" t="s">
        <v>2041</v>
      </c>
      <c r="J79" s="9" t="s">
        <v>2042</v>
      </c>
      <c r="K79" s="9" t="s">
        <v>1638</v>
      </c>
      <c r="L79" s="9" t="s">
        <v>1639</v>
      </c>
      <c r="M79" s="9" t="s">
        <v>562</v>
      </c>
      <c r="N79" s="9" t="s">
        <v>1640</v>
      </c>
    </row>
    <row r="80" customFormat="false" ht="41.25" hidden="false" customHeight="true" outlineLevel="0" collapsed="false">
      <c r="A80" s="9" t="s">
        <v>2043</v>
      </c>
      <c r="B80" s="9" t="s">
        <v>522</v>
      </c>
      <c r="C80" s="9" t="n">
        <v>2</v>
      </c>
      <c r="D80" s="9" t="s">
        <v>1631</v>
      </c>
      <c r="E80" s="9" t="s">
        <v>2044</v>
      </c>
      <c r="F80" s="9" t="s">
        <v>2045</v>
      </c>
      <c r="G80" s="9" t="s">
        <v>1634</v>
      </c>
      <c r="H80" s="9" t="s">
        <v>2046</v>
      </c>
      <c r="I80" s="9" t="s">
        <v>2047</v>
      </c>
      <c r="J80" s="9" t="s">
        <v>2042</v>
      </c>
      <c r="K80" s="9" t="s">
        <v>1638</v>
      </c>
      <c r="L80" s="9" t="s">
        <v>1639</v>
      </c>
      <c r="M80" s="9" t="s">
        <v>562</v>
      </c>
      <c r="N80" s="9" t="s">
        <v>1640</v>
      </c>
    </row>
    <row r="81" customFormat="false" ht="41.25" hidden="false" customHeight="true" outlineLevel="0" collapsed="false">
      <c r="A81" s="9" t="s">
        <v>2048</v>
      </c>
      <c r="B81" s="9" t="s">
        <v>522</v>
      </c>
      <c r="C81" s="9" t="n">
        <v>3</v>
      </c>
      <c r="D81" s="9" t="s">
        <v>1631</v>
      </c>
      <c r="E81" s="9" t="s">
        <v>2049</v>
      </c>
      <c r="F81" s="9" t="s">
        <v>2050</v>
      </c>
      <c r="G81" s="9" t="s">
        <v>1634</v>
      </c>
      <c r="H81" s="9" t="s">
        <v>2051</v>
      </c>
      <c r="I81" s="9" t="s">
        <v>2052</v>
      </c>
      <c r="J81" s="9" t="s">
        <v>2042</v>
      </c>
      <c r="K81" s="9" t="s">
        <v>1638</v>
      </c>
      <c r="L81" s="9" t="s">
        <v>1639</v>
      </c>
      <c r="M81" s="9" t="s">
        <v>562</v>
      </c>
      <c r="N81" s="9" t="s">
        <v>1640</v>
      </c>
    </row>
    <row r="82" customFormat="false" ht="54.75" hidden="false" customHeight="true" outlineLevel="0" collapsed="false">
      <c r="A82" s="9" t="s">
        <v>2053</v>
      </c>
      <c r="B82" s="9" t="s">
        <v>522</v>
      </c>
      <c r="C82" s="9" t="n">
        <v>4</v>
      </c>
      <c r="D82" s="9" t="s">
        <v>1652</v>
      </c>
      <c r="E82" s="9" t="s">
        <v>2054</v>
      </c>
      <c r="F82" s="9" t="s">
        <v>2055</v>
      </c>
      <c r="G82" s="9" t="s">
        <v>1926</v>
      </c>
      <c r="H82" s="9" t="s">
        <v>1673</v>
      </c>
      <c r="I82" s="9" t="s">
        <v>2026</v>
      </c>
      <c r="J82" s="9" t="s">
        <v>2056</v>
      </c>
      <c r="K82" s="9" t="s">
        <v>1659</v>
      </c>
      <c r="L82" s="9" t="s">
        <v>1660</v>
      </c>
      <c r="M82" s="9" t="s">
        <v>1661</v>
      </c>
      <c r="N82" s="9" t="s">
        <v>1662</v>
      </c>
    </row>
    <row r="83" customFormat="false" ht="54.75" hidden="false" customHeight="true" outlineLevel="0" collapsed="false">
      <c r="A83" s="9" t="s">
        <v>2057</v>
      </c>
      <c r="B83" s="9" t="s">
        <v>522</v>
      </c>
      <c r="C83" s="9" t="n">
        <v>5</v>
      </c>
      <c r="D83" s="9" t="s">
        <v>1652</v>
      </c>
      <c r="E83" s="9" t="s">
        <v>2058</v>
      </c>
      <c r="F83" s="9" t="s">
        <v>2059</v>
      </c>
      <c r="G83" s="9" t="s">
        <v>2060</v>
      </c>
      <c r="H83" s="9" t="s">
        <v>2061</v>
      </c>
      <c r="I83" s="9" t="s">
        <v>2062</v>
      </c>
      <c r="J83" s="9" t="s">
        <v>2056</v>
      </c>
      <c r="K83" s="9" t="s">
        <v>1659</v>
      </c>
      <c r="L83" s="9" t="s">
        <v>1660</v>
      </c>
      <c r="M83" s="9" t="s">
        <v>1661</v>
      </c>
      <c r="N83" s="9" t="s">
        <v>1662</v>
      </c>
    </row>
    <row r="84" customFormat="false" ht="54.75" hidden="false" customHeight="true" outlineLevel="0" collapsed="false">
      <c r="A84" s="9" t="s">
        <v>2063</v>
      </c>
      <c r="B84" s="9" t="s">
        <v>522</v>
      </c>
      <c r="C84" s="9" t="n">
        <v>6</v>
      </c>
      <c r="D84" s="9" t="s">
        <v>1652</v>
      </c>
      <c r="E84" s="9" t="s">
        <v>2064</v>
      </c>
      <c r="F84" s="9" t="s">
        <v>2065</v>
      </c>
      <c r="G84" s="9" t="s">
        <v>2066</v>
      </c>
      <c r="H84" s="9" t="s">
        <v>1656</v>
      </c>
      <c r="I84" s="9" t="s">
        <v>2067</v>
      </c>
      <c r="J84" s="9" t="s">
        <v>2056</v>
      </c>
      <c r="K84" s="9" t="s">
        <v>1659</v>
      </c>
      <c r="L84" s="9" t="s">
        <v>1660</v>
      </c>
      <c r="M84" s="9" t="s">
        <v>1661</v>
      </c>
      <c r="N84" s="9" t="s">
        <v>1662</v>
      </c>
    </row>
    <row r="85" customFormat="false" ht="41.25" hidden="false" customHeight="true" outlineLevel="0" collapsed="false">
      <c r="A85" s="9" t="s">
        <v>2068</v>
      </c>
      <c r="B85" s="9" t="s">
        <v>522</v>
      </c>
      <c r="C85" s="9" t="n">
        <v>7</v>
      </c>
      <c r="D85" s="9" t="s">
        <v>1676</v>
      </c>
      <c r="E85" s="9" t="s">
        <v>1677</v>
      </c>
      <c r="F85" s="9" t="s">
        <v>2069</v>
      </c>
      <c r="G85" s="9" t="s">
        <v>1679</v>
      </c>
      <c r="H85" s="9" t="s">
        <v>1680</v>
      </c>
      <c r="I85" s="9" t="s">
        <v>2070</v>
      </c>
      <c r="J85" s="9" t="s">
        <v>2071</v>
      </c>
      <c r="K85" s="9" t="s">
        <v>1683</v>
      </c>
      <c r="L85" s="9" t="s">
        <v>1684</v>
      </c>
      <c r="M85" s="9" t="s">
        <v>1685</v>
      </c>
      <c r="N85" s="9" t="s">
        <v>1686</v>
      </c>
    </row>
    <row r="86" customFormat="false" ht="41.25" hidden="false" customHeight="true" outlineLevel="0" collapsed="false">
      <c r="A86" s="9" t="s">
        <v>2072</v>
      </c>
      <c r="B86" s="9" t="s">
        <v>551</v>
      </c>
      <c r="C86" s="9" t="n">
        <v>1</v>
      </c>
      <c r="D86" s="9" t="s">
        <v>1631</v>
      </c>
      <c r="E86" s="9" t="s">
        <v>2073</v>
      </c>
      <c r="F86" s="9" t="s">
        <v>2074</v>
      </c>
      <c r="G86" s="9" t="s">
        <v>1634</v>
      </c>
      <c r="H86" s="9" t="s">
        <v>2075</v>
      </c>
      <c r="I86" s="9" t="s">
        <v>2076</v>
      </c>
      <c r="J86" s="9" t="s">
        <v>2077</v>
      </c>
      <c r="K86" s="9" t="s">
        <v>1638</v>
      </c>
      <c r="L86" s="9" t="s">
        <v>1639</v>
      </c>
      <c r="M86" s="9" t="s">
        <v>562</v>
      </c>
      <c r="N86" s="9" t="s">
        <v>1640</v>
      </c>
    </row>
    <row r="87" customFormat="false" ht="41.25" hidden="false" customHeight="true" outlineLevel="0" collapsed="false">
      <c r="A87" s="9" t="s">
        <v>2078</v>
      </c>
      <c r="B87" s="9" t="s">
        <v>551</v>
      </c>
      <c r="C87" s="9" t="n">
        <v>2</v>
      </c>
      <c r="D87" s="9" t="s">
        <v>1631</v>
      </c>
      <c r="E87" s="9" t="s">
        <v>2079</v>
      </c>
      <c r="F87" s="9" t="s">
        <v>2080</v>
      </c>
      <c r="G87" s="9" t="s">
        <v>1634</v>
      </c>
      <c r="H87" s="9" t="s">
        <v>2081</v>
      </c>
      <c r="I87" s="9" t="s">
        <v>2082</v>
      </c>
      <c r="J87" s="9" t="s">
        <v>2077</v>
      </c>
      <c r="K87" s="9" t="s">
        <v>1638</v>
      </c>
      <c r="L87" s="9" t="s">
        <v>1639</v>
      </c>
      <c r="M87" s="9" t="s">
        <v>562</v>
      </c>
      <c r="N87" s="9" t="s">
        <v>1640</v>
      </c>
    </row>
    <row r="88" customFormat="false" ht="41.25" hidden="false" customHeight="true" outlineLevel="0" collapsed="false">
      <c r="A88" s="9" t="s">
        <v>2083</v>
      </c>
      <c r="B88" s="9" t="s">
        <v>551</v>
      </c>
      <c r="C88" s="9" t="n">
        <v>3</v>
      </c>
      <c r="D88" s="9" t="s">
        <v>1631</v>
      </c>
      <c r="E88" s="9" t="s">
        <v>2084</v>
      </c>
      <c r="F88" s="9" t="s">
        <v>2085</v>
      </c>
      <c r="G88" s="9" t="s">
        <v>1634</v>
      </c>
      <c r="H88" s="9" t="s">
        <v>2086</v>
      </c>
      <c r="I88" s="9" t="s">
        <v>2087</v>
      </c>
      <c r="J88" s="9" t="s">
        <v>2077</v>
      </c>
      <c r="K88" s="9" t="s">
        <v>1638</v>
      </c>
      <c r="L88" s="9" t="s">
        <v>1639</v>
      </c>
      <c r="M88" s="9" t="s">
        <v>562</v>
      </c>
      <c r="N88" s="9" t="s">
        <v>1640</v>
      </c>
    </row>
    <row r="89" customFormat="false" ht="54.75" hidden="false" customHeight="true" outlineLevel="0" collapsed="false">
      <c r="A89" s="9" t="s">
        <v>2088</v>
      </c>
      <c r="B89" s="9" t="s">
        <v>551</v>
      </c>
      <c r="C89" s="9" t="n">
        <v>4</v>
      </c>
      <c r="D89" s="9" t="s">
        <v>1652</v>
      </c>
      <c r="E89" s="9" t="s">
        <v>2089</v>
      </c>
      <c r="F89" s="9" t="s">
        <v>2090</v>
      </c>
      <c r="G89" s="9" t="s">
        <v>2091</v>
      </c>
      <c r="H89" s="9" t="s">
        <v>2092</v>
      </c>
      <c r="I89" s="9" t="s">
        <v>2093</v>
      </c>
      <c r="J89" s="9" t="s">
        <v>2094</v>
      </c>
      <c r="K89" s="9" t="s">
        <v>1659</v>
      </c>
      <c r="L89" s="9" t="s">
        <v>1660</v>
      </c>
      <c r="M89" s="9" t="s">
        <v>1661</v>
      </c>
      <c r="N89" s="9" t="s">
        <v>1662</v>
      </c>
    </row>
    <row r="90" customFormat="false" ht="54.75" hidden="false" customHeight="true" outlineLevel="0" collapsed="false">
      <c r="A90" s="9" t="s">
        <v>2095</v>
      </c>
      <c r="B90" s="9" t="s">
        <v>551</v>
      </c>
      <c r="C90" s="9" t="n">
        <v>5</v>
      </c>
      <c r="D90" s="9" t="s">
        <v>1652</v>
      </c>
      <c r="E90" s="9" t="s">
        <v>2096</v>
      </c>
      <c r="F90" s="9" t="s">
        <v>2097</v>
      </c>
      <c r="G90" s="9" t="s">
        <v>2060</v>
      </c>
      <c r="H90" s="9" t="s">
        <v>2098</v>
      </c>
      <c r="I90" s="9" t="s">
        <v>2099</v>
      </c>
      <c r="J90" s="9" t="s">
        <v>2094</v>
      </c>
      <c r="K90" s="9" t="s">
        <v>1659</v>
      </c>
      <c r="L90" s="9" t="s">
        <v>1660</v>
      </c>
      <c r="M90" s="9" t="s">
        <v>1661</v>
      </c>
      <c r="N90" s="9" t="s">
        <v>1662</v>
      </c>
    </row>
    <row r="91" customFormat="false" ht="54.75" hidden="false" customHeight="true" outlineLevel="0" collapsed="false">
      <c r="A91" s="9" t="s">
        <v>2100</v>
      </c>
      <c r="B91" s="9" t="s">
        <v>551</v>
      </c>
      <c r="C91" s="9" t="n">
        <v>6</v>
      </c>
      <c r="D91" s="9" t="s">
        <v>1652</v>
      </c>
      <c r="E91" s="9" t="s">
        <v>1993</v>
      </c>
      <c r="F91" s="9" t="s">
        <v>1994</v>
      </c>
      <c r="G91" s="9" t="s">
        <v>1826</v>
      </c>
      <c r="H91" s="9" t="s">
        <v>1656</v>
      </c>
      <c r="I91" s="9" t="s">
        <v>2101</v>
      </c>
      <c r="J91" s="9" t="s">
        <v>2094</v>
      </c>
      <c r="K91" s="9" t="s">
        <v>1659</v>
      </c>
      <c r="L91" s="9" t="s">
        <v>1660</v>
      </c>
      <c r="M91" s="9" t="s">
        <v>1661</v>
      </c>
      <c r="N91" s="9" t="s">
        <v>1662</v>
      </c>
    </row>
    <row r="92" customFormat="false" ht="41.25" hidden="false" customHeight="true" outlineLevel="0" collapsed="false">
      <c r="A92" s="9" t="s">
        <v>2102</v>
      </c>
      <c r="B92" s="9" t="s">
        <v>551</v>
      </c>
      <c r="C92" s="9" t="n">
        <v>7</v>
      </c>
      <c r="D92" s="9" t="s">
        <v>1676</v>
      </c>
      <c r="E92" s="9" t="s">
        <v>1677</v>
      </c>
      <c r="F92" s="9" t="s">
        <v>557</v>
      </c>
      <c r="G92" s="9" t="s">
        <v>1679</v>
      </c>
      <c r="H92" s="9" t="s">
        <v>1680</v>
      </c>
      <c r="I92" s="9" t="s">
        <v>2103</v>
      </c>
      <c r="J92" s="9" t="s">
        <v>2104</v>
      </c>
      <c r="K92" s="9" t="s">
        <v>1683</v>
      </c>
      <c r="L92" s="9" t="s">
        <v>1684</v>
      </c>
      <c r="M92" s="9" t="s">
        <v>1685</v>
      </c>
      <c r="N92" s="9" t="s">
        <v>1686</v>
      </c>
    </row>
    <row r="93" customFormat="false" ht="41.25" hidden="false" customHeight="true" outlineLevel="0" collapsed="false">
      <c r="A93" s="9" t="s">
        <v>2105</v>
      </c>
      <c r="B93" s="9" t="s">
        <v>578</v>
      </c>
      <c r="C93" s="9" t="n">
        <v>1</v>
      </c>
      <c r="D93" s="9" t="s">
        <v>1631</v>
      </c>
      <c r="E93" s="9" t="s">
        <v>2106</v>
      </c>
      <c r="F93" s="9" t="s">
        <v>2107</v>
      </c>
      <c r="G93" s="9" t="s">
        <v>1634</v>
      </c>
      <c r="H93" s="9" t="s">
        <v>2108</v>
      </c>
      <c r="I93" s="9" t="s">
        <v>2109</v>
      </c>
      <c r="J93" s="9" t="s">
        <v>2110</v>
      </c>
      <c r="K93" s="9" t="s">
        <v>1638</v>
      </c>
      <c r="L93" s="9" t="s">
        <v>1639</v>
      </c>
      <c r="M93" s="9" t="s">
        <v>562</v>
      </c>
      <c r="N93" s="9" t="s">
        <v>1640</v>
      </c>
    </row>
    <row r="94" customFormat="false" ht="41.25" hidden="false" customHeight="true" outlineLevel="0" collapsed="false">
      <c r="A94" s="9" t="s">
        <v>2111</v>
      </c>
      <c r="B94" s="9" t="s">
        <v>578</v>
      </c>
      <c r="C94" s="9" t="n">
        <v>2</v>
      </c>
      <c r="D94" s="9" t="s">
        <v>1631</v>
      </c>
      <c r="E94" s="9" t="s">
        <v>2112</v>
      </c>
      <c r="F94" s="9" t="s">
        <v>2113</v>
      </c>
      <c r="G94" s="9" t="s">
        <v>1634</v>
      </c>
      <c r="H94" s="9" t="s">
        <v>2114</v>
      </c>
      <c r="I94" s="9" t="s">
        <v>2115</v>
      </c>
      <c r="J94" s="9" t="s">
        <v>2110</v>
      </c>
      <c r="K94" s="9" t="s">
        <v>1638</v>
      </c>
      <c r="L94" s="9" t="s">
        <v>1639</v>
      </c>
      <c r="M94" s="9" t="s">
        <v>562</v>
      </c>
      <c r="N94" s="9" t="s">
        <v>1640</v>
      </c>
    </row>
    <row r="95" customFormat="false" ht="41.25" hidden="false" customHeight="true" outlineLevel="0" collapsed="false">
      <c r="A95" s="9" t="s">
        <v>2116</v>
      </c>
      <c r="B95" s="9" t="s">
        <v>578</v>
      </c>
      <c r="C95" s="9" t="n">
        <v>3</v>
      </c>
      <c r="D95" s="9" t="s">
        <v>1631</v>
      </c>
      <c r="E95" s="9" t="s">
        <v>2117</v>
      </c>
      <c r="F95" s="9" t="s">
        <v>2118</v>
      </c>
      <c r="G95" s="9" t="s">
        <v>1634</v>
      </c>
      <c r="H95" s="9" t="s">
        <v>2119</v>
      </c>
      <c r="I95" s="9" t="s">
        <v>2120</v>
      </c>
      <c r="J95" s="9" t="s">
        <v>2110</v>
      </c>
      <c r="K95" s="9" t="s">
        <v>1638</v>
      </c>
      <c r="L95" s="9" t="s">
        <v>1639</v>
      </c>
      <c r="M95" s="9" t="s">
        <v>562</v>
      </c>
      <c r="N95" s="9" t="s">
        <v>1640</v>
      </c>
    </row>
    <row r="96" customFormat="false" ht="54.75" hidden="false" customHeight="true" outlineLevel="0" collapsed="false">
      <c r="A96" s="9" t="s">
        <v>2121</v>
      </c>
      <c r="B96" s="9" t="s">
        <v>578</v>
      </c>
      <c r="C96" s="9" t="n">
        <v>4</v>
      </c>
      <c r="D96" s="9" t="s">
        <v>1652</v>
      </c>
      <c r="E96" s="9" t="s">
        <v>1889</v>
      </c>
      <c r="F96" s="9" t="s">
        <v>1890</v>
      </c>
      <c r="G96" s="9" t="s">
        <v>1826</v>
      </c>
      <c r="H96" s="9" t="s">
        <v>1656</v>
      </c>
      <c r="I96" s="9" t="s">
        <v>2122</v>
      </c>
      <c r="J96" s="9" t="s">
        <v>2123</v>
      </c>
      <c r="K96" s="9" t="s">
        <v>1659</v>
      </c>
      <c r="L96" s="9" t="s">
        <v>1660</v>
      </c>
      <c r="M96" s="9" t="s">
        <v>1661</v>
      </c>
      <c r="N96" s="9" t="s">
        <v>1662</v>
      </c>
    </row>
    <row r="97" customFormat="false" ht="54.75" hidden="false" customHeight="true" outlineLevel="0" collapsed="false">
      <c r="A97" s="9" t="s">
        <v>2124</v>
      </c>
      <c r="B97" s="9" t="s">
        <v>578</v>
      </c>
      <c r="C97" s="9" t="n">
        <v>5</v>
      </c>
      <c r="D97" s="9" t="s">
        <v>1652</v>
      </c>
      <c r="E97" s="9" t="s">
        <v>2125</v>
      </c>
      <c r="F97" s="9" t="s">
        <v>2126</v>
      </c>
      <c r="G97" s="9" t="s">
        <v>1753</v>
      </c>
      <c r="H97" s="9" t="s">
        <v>1754</v>
      </c>
      <c r="I97" s="9" t="s">
        <v>2127</v>
      </c>
      <c r="J97" s="9" t="s">
        <v>2123</v>
      </c>
      <c r="K97" s="9" t="s">
        <v>1659</v>
      </c>
      <c r="L97" s="9" t="s">
        <v>1660</v>
      </c>
      <c r="M97" s="9" t="s">
        <v>1661</v>
      </c>
      <c r="N97" s="9" t="s">
        <v>1662</v>
      </c>
    </row>
    <row r="98" customFormat="false" ht="54.75" hidden="false" customHeight="true" outlineLevel="0" collapsed="false">
      <c r="A98" s="9" t="s">
        <v>2128</v>
      </c>
      <c r="B98" s="9" t="s">
        <v>578</v>
      </c>
      <c r="C98" s="9" t="n">
        <v>6</v>
      </c>
      <c r="D98" s="9" t="s">
        <v>1652</v>
      </c>
      <c r="E98" s="9" t="s">
        <v>1924</v>
      </c>
      <c r="F98" s="9" t="s">
        <v>1925</v>
      </c>
      <c r="G98" s="9" t="s">
        <v>2129</v>
      </c>
      <c r="H98" s="9" t="s">
        <v>1673</v>
      </c>
      <c r="I98" s="9" t="s">
        <v>2130</v>
      </c>
      <c r="J98" s="9" t="s">
        <v>2123</v>
      </c>
      <c r="K98" s="9" t="s">
        <v>1659</v>
      </c>
      <c r="L98" s="9" t="s">
        <v>1660</v>
      </c>
      <c r="M98" s="9" t="s">
        <v>1661</v>
      </c>
      <c r="N98" s="9" t="s">
        <v>1662</v>
      </c>
    </row>
    <row r="99" customFormat="false" ht="41.25" hidden="false" customHeight="true" outlineLevel="0" collapsed="false">
      <c r="A99" s="9" t="s">
        <v>2131</v>
      </c>
      <c r="B99" s="9" t="s">
        <v>578</v>
      </c>
      <c r="C99" s="9" t="n">
        <v>7</v>
      </c>
      <c r="D99" s="9" t="s">
        <v>1676</v>
      </c>
      <c r="E99" s="9" t="s">
        <v>1677</v>
      </c>
      <c r="F99" s="9" t="s">
        <v>585</v>
      </c>
      <c r="G99" s="9" t="s">
        <v>1679</v>
      </c>
      <c r="H99" s="9" t="s">
        <v>1680</v>
      </c>
      <c r="I99" s="9" t="s">
        <v>2132</v>
      </c>
      <c r="J99" s="9" t="s">
        <v>2133</v>
      </c>
      <c r="K99" s="9" t="s">
        <v>1683</v>
      </c>
      <c r="L99" s="9" t="s">
        <v>1684</v>
      </c>
      <c r="M99" s="9" t="s">
        <v>1685</v>
      </c>
      <c r="N99" s="9" t="s">
        <v>1686</v>
      </c>
    </row>
    <row r="100" customFormat="false" ht="41.25" hidden="false" customHeight="true" outlineLevel="0" collapsed="false">
      <c r="A100" s="9" t="s">
        <v>2134</v>
      </c>
      <c r="B100" s="9" t="s">
        <v>596</v>
      </c>
      <c r="C100" s="9" t="n">
        <v>1</v>
      </c>
      <c r="D100" s="9" t="s">
        <v>1631</v>
      </c>
      <c r="E100" s="9" t="s">
        <v>2135</v>
      </c>
      <c r="F100" s="9" t="s">
        <v>2136</v>
      </c>
      <c r="G100" s="9" t="s">
        <v>1634</v>
      </c>
      <c r="H100" s="9" t="s">
        <v>2137</v>
      </c>
      <c r="I100" s="9" t="s">
        <v>2138</v>
      </c>
      <c r="J100" s="9" t="s">
        <v>2139</v>
      </c>
      <c r="K100" s="9" t="s">
        <v>1638</v>
      </c>
      <c r="L100" s="9" t="s">
        <v>1639</v>
      </c>
      <c r="M100" s="9" t="s">
        <v>562</v>
      </c>
      <c r="N100" s="9" t="s">
        <v>1640</v>
      </c>
    </row>
    <row r="101" customFormat="false" ht="41.25" hidden="false" customHeight="true" outlineLevel="0" collapsed="false">
      <c r="A101" s="9" t="s">
        <v>2140</v>
      </c>
      <c r="B101" s="9" t="s">
        <v>596</v>
      </c>
      <c r="C101" s="9" t="n">
        <v>2</v>
      </c>
      <c r="D101" s="9" t="s">
        <v>1631</v>
      </c>
      <c r="E101" s="9" t="s">
        <v>2141</v>
      </c>
      <c r="F101" s="9" t="s">
        <v>2142</v>
      </c>
      <c r="G101" s="9" t="s">
        <v>1634</v>
      </c>
      <c r="H101" s="9" t="s">
        <v>2143</v>
      </c>
      <c r="I101" s="9" t="s">
        <v>2144</v>
      </c>
      <c r="J101" s="9" t="s">
        <v>2139</v>
      </c>
      <c r="K101" s="9" t="s">
        <v>1638</v>
      </c>
      <c r="L101" s="9" t="s">
        <v>1639</v>
      </c>
      <c r="M101" s="9" t="s">
        <v>562</v>
      </c>
      <c r="N101" s="9" t="s">
        <v>1640</v>
      </c>
    </row>
    <row r="102" customFormat="false" ht="41.25" hidden="false" customHeight="true" outlineLevel="0" collapsed="false">
      <c r="A102" s="9" t="s">
        <v>2145</v>
      </c>
      <c r="B102" s="9" t="s">
        <v>596</v>
      </c>
      <c r="C102" s="9" t="n">
        <v>3</v>
      </c>
      <c r="D102" s="9" t="s">
        <v>1631</v>
      </c>
      <c r="E102" s="9" t="s">
        <v>2146</v>
      </c>
      <c r="F102" s="9" t="s">
        <v>2147</v>
      </c>
      <c r="G102" s="9" t="s">
        <v>1634</v>
      </c>
      <c r="H102" s="9" t="s">
        <v>2148</v>
      </c>
      <c r="I102" s="9" t="s">
        <v>2149</v>
      </c>
      <c r="J102" s="9" t="s">
        <v>2139</v>
      </c>
      <c r="K102" s="9" t="s">
        <v>1638</v>
      </c>
      <c r="L102" s="9" t="s">
        <v>1639</v>
      </c>
      <c r="M102" s="9" t="s">
        <v>562</v>
      </c>
      <c r="N102" s="9" t="s">
        <v>1640</v>
      </c>
    </row>
    <row r="103" customFormat="false" ht="54.75" hidden="false" customHeight="true" outlineLevel="0" collapsed="false">
      <c r="A103" s="9" t="s">
        <v>2150</v>
      </c>
      <c r="B103" s="9" t="s">
        <v>596</v>
      </c>
      <c r="C103" s="9" t="n">
        <v>4</v>
      </c>
      <c r="D103" s="9" t="s">
        <v>1652</v>
      </c>
      <c r="E103" s="9" t="s">
        <v>2151</v>
      </c>
      <c r="F103" s="9" t="s">
        <v>2152</v>
      </c>
      <c r="G103" s="9" t="s">
        <v>2153</v>
      </c>
      <c r="H103" s="9" t="s">
        <v>2092</v>
      </c>
      <c r="I103" s="9" t="s">
        <v>2154</v>
      </c>
      <c r="J103" s="9" t="s">
        <v>2155</v>
      </c>
      <c r="K103" s="9" t="s">
        <v>1659</v>
      </c>
      <c r="L103" s="9" t="s">
        <v>1660</v>
      </c>
      <c r="M103" s="9" t="s">
        <v>1661</v>
      </c>
      <c r="N103" s="9" t="s">
        <v>1662</v>
      </c>
    </row>
    <row r="104" customFormat="false" ht="54.75" hidden="false" customHeight="true" outlineLevel="0" collapsed="false">
      <c r="A104" s="9" t="s">
        <v>2156</v>
      </c>
      <c r="B104" s="9" t="s">
        <v>596</v>
      </c>
      <c r="C104" s="9" t="n">
        <v>5</v>
      </c>
      <c r="D104" s="9" t="s">
        <v>1652</v>
      </c>
      <c r="E104" s="9" t="s">
        <v>2157</v>
      </c>
      <c r="F104" s="9" t="s">
        <v>2158</v>
      </c>
      <c r="G104" s="9" t="s">
        <v>1826</v>
      </c>
      <c r="H104" s="9" t="s">
        <v>1656</v>
      </c>
      <c r="I104" s="9" t="s">
        <v>2159</v>
      </c>
      <c r="J104" s="9" t="s">
        <v>2155</v>
      </c>
      <c r="K104" s="9" t="s">
        <v>1659</v>
      </c>
      <c r="L104" s="9" t="s">
        <v>1660</v>
      </c>
      <c r="M104" s="9" t="s">
        <v>1661</v>
      </c>
      <c r="N104" s="9" t="s">
        <v>1662</v>
      </c>
    </row>
    <row r="105" customFormat="false" ht="54.75" hidden="false" customHeight="true" outlineLevel="0" collapsed="false">
      <c r="A105" s="9" t="s">
        <v>2160</v>
      </c>
      <c r="B105" s="9" t="s">
        <v>596</v>
      </c>
      <c r="C105" s="9" t="n">
        <v>6</v>
      </c>
      <c r="D105" s="9" t="s">
        <v>1652</v>
      </c>
      <c r="E105" s="9" t="s">
        <v>2161</v>
      </c>
      <c r="F105" s="9" t="s">
        <v>2162</v>
      </c>
      <c r="G105" s="9" t="s">
        <v>2163</v>
      </c>
      <c r="H105" s="9" t="s">
        <v>1667</v>
      </c>
      <c r="I105" s="9" t="s">
        <v>2164</v>
      </c>
      <c r="J105" s="9" t="s">
        <v>2155</v>
      </c>
      <c r="K105" s="9" t="s">
        <v>1659</v>
      </c>
      <c r="L105" s="9" t="s">
        <v>1660</v>
      </c>
      <c r="M105" s="9" t="s">
        <v>1661</v>
      </c>
      <c r="N105" s="9" t="s">
        <v>1662</v>
      </c>
    </row>
    <row r="106" customFormat="false" ht="41.25" hidden="false" customHeight="true" outlineLevel="0" collapsed="false">
      <c r="A106" s="9" t="s">
        <v>2165</v>
      </c>
      <c r="B106" s="9" t="s">
        <v>596</v>
      </c>
      <c r="C106" s="9" t="n">
        <v>7</v>
      </c>
      <c r="D106" s="9" t="s">
        <v>1676</v>
      </c>
      <c r="E106" s="9" t="s">
        <v>1677</v>
      </c>
      <c r="F106" s="9" t="s">
        <v>602</v>
      </c>
      <c r="G106" s="9" t="s">
        <v>1679</v>
      </c>
      <c r="H106" s="9" t="s">
        <v>1680</v>
      </c>
      <c r="I106" s="9" t="s">
        <v>2166</v>
      </c>
      <c r="J106" s="9" t="s">
        <v>2167</v>
      </c>
      <c r="K106" s="9" t="s">
        <v>1683</v>
      </c>
      <c r="L106" s="9" t="s">
        <v>1684</v>
      </c>
      <c r="M106" s="9" t="s">
        <v>1685</v>
      </c>
      <c r="N106" s="9" t="s">
        <v>1686</v>
      </c>
    </row>
    <row r="107" customFormat="false" ht="41.25" hidden="false" customHeight="true" outlineLevel="0" collapsed="false">
      <c r="A107" s="9" t="s">
        <v>2168</v>
      </c>
      <c r="B107" s="9" t="s">
        <v>620</v>
      </c>
      <c r="C107" s="9" t="n">
        <v>1</v>
      </c>
      <c r="D107" s="9" t="s">
        <v>1631</v>
      </c>
      <c r="E107" s="9" t="s">
        <v>2169</v>
      </c>
      <c r="F107" s="9" t="s">
        <v>2170</v>
      </c>
      <c r="G107" s="9" t="s">
        <v>1634</v>
      </c>
      <c r="H107" s="9" t="s">
        <v>2171</v>
      </c>
      <c r="I107" s="9" t="s">
        <v>2172</v>
      </c>
      <c r="J107" s="9" t="s">
        <v>2173</v>
      </c>
      <c r="K107" s="9" t="s">
        <v>1638</v>
      </c>
      <c r="L107" s="9" t="s">
        <v>1639</v>
      </c>
      <c r="M107" s="9" t="s">
        <v>562</v>
      </c>
      <c r="N107" s="9" t="s">
        <v>1640</v>
      </c>
    </row>
    <row r="108" customFormat="false" ht="41.25" hidden="false" customHeight="true" outlineLevel="0" collapsed="false">
      <c r="A108" s="9" t="s">
        <v>2174</v>
      </c>
      <c r="B108" s="9" t="s">
        <v>620</v>
      </c>
      <c r="C108" s="9" t="n">
        <v>2</v>
      </c>
      <c r="D108" s="9" t="s">
        <v>1631</v>
      </c>
      <c r="E108" s="9" t="s">
        <v>2175</v>
      </c>
      <c r="F108" s="9" t="s">
        <v>2176</v>
      </c>
      <c r="G108" s="9" t="s">
        <v>1634</v>
      </c>
      <c r="H108" s="9" t="s">
        <v>2177</v>
      </c>
      <c r="I108" s="9" t="s">
        <v>2178</v>
      </c>
      <c r="J108" s="9" t="s">
        <v>2173</v>
      </c>
      <c r="K108" s="9" t="s">
        <v>1638</v>
      </c>
      <c r="L108" s="9" t="s">
        <v>1639</v>
      </c>
      <c r="M108" s="9" t="s">
        <v>562</v>
      </c>
      <c r="N108" s="9" t="s">
        <v>1640</v>
      </c>
    </row>
    <row r="109" customFormat="false" ht="41.25" hidden="false" customHeight="true" outlineLevel="0" collapsed="false">
      <c r="A109" s="9" t="s">
        <v>2179</v>
      </c>
      <c r="B109" s="9" t="s">
        <v>620</v>
      </c>
      <c r="C109" s="9" t="n">
        <v>3</v>
      </c>
      <c r="D109" s="9" t="s">
        <v>1631</v>
      </c>
      <c r="E109" s="9" t="s">
        <v>2180</v>
      </c>
      <c r="F109" s="9" t="s">
        <v>2181</v>
      </c>
      <c r="G109" s="9" t="s">
        <v>1634</v>
      </c>
      <c r="H109" s="9" t="s">
        <v>2182</v>
      </c>
      <c r="I109" s="9" t="s">
        <v>2183</v>
      </c>
      <c r="J109" s="9" t="s">
        <v>2173</v>
      </c>
      <c r="K109" s="9" t="s">
        <v>1638</v>
      </c>
      <c r="L109" s="9" t="s">
        <v>1639</v>
      </c>
      <c r="M109" s="9" t="s">
        <v>562</v>
      </c>
      <c r="N109" s="9" t="s">
        <v>1640</v>
      </c>
    </row>
    <row r="110" customFormat="false" ht="54.75" hidden="false" customHeight="true" outlineLevel="0" collapsed="false">
      <c r="A110" s="9" t="s">
        <v>2184</v>
      </c>
      <c r="B110" s="9" t="s">
        <v>620</v>
      </c>
      <c r="C110" s="9" t="n">
        <v>4</v>
      </c>
      <c r="D110" s="9" t="s">
        <v>1652</v>
      </c>
      <c r="E110" s="9" t="s">
        <v>2185</v>
      </c>
      <c r="F110" s="9" t="s">
        <v>2186</v>
      </c>
      <c r="G110" s="9" t="s">
        <v>1779</v>
      </c>
      <c r="H110" s="9" t="s">
        <v>1713</v>
      </c>
      <c r="I110" s="9" t="s">
        <v>2187</v>
      </c>
      <c r="J110" s="9" t="s">
        <v>2188</v>
      </c>
      <c r="K110" s="9" t="s">
        <v>1659</v>
      </c>
      <c r="L110" s="9" t="s">
        <v>1660</v>
      </c>
      <c r="M110" s="9" t="s">
        <v>1661</v>
      </c>
      <c r="N110" s="9" t="s">
        <v>1662</v>
      </c>
    </row>
    <row r="111" customFormat="false" ht="54.75" hidden="false" customHeight="true" outlineLevel="0" collapsed="false">
      <c r="A111" s="9" t="s">
        <v>2189</v>
      </c>
      <c r="B111" s="9" t="s">
        <v>620</v>
      </c>
      <c r="C111" s="9" t="n">
        <v>5</v>
      </c>
      <c r="D111" s="9" t="s">
        <v>1652</v>
      </c>
      <c r="E111" s="9" t="s">
        <v>2190</v>
      </c>
      <c r="F111" s="9" t="s">
        <v>2191</v>
      </c>
      <c r="G111" s="9" t="s">
        <v>1779</v>
      </c>
      <c r="H111" s="9" t="s">
        <v>1713</v>
      </c>
      <c r="I111" s="9" t="s">
        <v>2130</v>
      </c>
      <c r="J111" s="9" t="s">
        <v>2188</v>
      </c>
      <c r="K111" s="9" t="s">
        <v>1659</v>
      </c>
      <c r="L111" s="9" t="s">
        <v>1660</v>
      </c>
      <c r="M111" s="9" t="s">
        <v>1661</v>
      </c>
      <c r="N111" s="9" t="s">
        <v>1662</v>
      </c>
    </row>
    <row r="112" customFormat="false" ht="54.75" hidden="false" customHeight="true" outlineLevel="0" collapsed="false">
      <c r="A112" s="9" t="s">
        <v>2192</v>
      </c>
      <c r="B112" s="9" t="s">
        <v>620</v>
      </c>
      <c r="C112" s="9" t="n">
        <v>6</v>
      </c>
      <c r="D112" s="9" t="s">
        <v>1652</v>
      </c>
      <c r="E112" s="9" t="s">
        <v>1993</v>
      </c>
      <c r="F112" s="9" t="s">
        <v>1994</v>
      </c>
      <c r="G112" s="9" t="s">
        <v>2066</v>
      </c>
      <c r="H112" s="9" t="s">
        <v>1656</v>
      </c>
      <c r="I112" s="9" t="s">
        <v>2193</v>
      </c>
      <c r="J112" s="9" t="s">
        <v>2188</v>
      </c>
      <c r="K112" s="9" t="s">
        <v>1659</v>
      </c>
      <c r="L112" s="9" t="s">
        <v>1660</v>
      </c>
      <c r="M112" s="9" t="s">
        <v>1661</v>
      </c>
      <c r="N112" s="9" t="s">
        <v>1662</v>
      </c>
    </row>
    <row r="113" customFormat="false" ht="41.25" hidden="false" customHeight="true" outlineLevel="0" collapsed="false">
      <c r="A113" s="9" t="s">
        <v>2194</v>
      </c>
      <c r="B113" s="9" t="s">
        <v>620</v>
      </c>
      <c r="C113" s="9" t="n">
        <v>7</v>
      </c>
      <c r="D113" s="9" t="s">
        <v>1676</v>
      </c>
      <c r="E113" s="9" t="s">
        <v>1677</v>
      </c>
      <c r="F113" s="9" t="s">
        <v>626</v>
      </c>
      <c r="G113" s="9" t="s">
        <v>1679</v>
      </c>
      <c r="H113" s="9" t="s">
        <v>1680</v>
      </c>
      <c r="I113" s="9" t="s">
        <v>2195</v>
      </c>
      <c r="J113" s="9" t="s">
        <v>2196</v>
      </c>
      <c r="K113" s="9" t="s">
        <v>1683</v>
      </c>
      <c r="L113" s="9" t="s">
        <v>1684</v>
      </c>
      <c r="M113" s="9" t="s">
        <v>1685</v>
      </c>
      <c r="N113" s="9" t="s">
        <v>1686</v>
      </c>
    </row>
    <row r="114" customFormat="false" ht="41.25" hidden="false" customHeight="true" outlineLevel="0" collapsed="false">
      <c r="A114" s="9" t="s">
        <v>2197</v>
      </c>
      <c r="B114" s="9" t="s">
        <v>637</v>
      </c>
      <c r="C114" s="9" t="n">
        <v>1</v>
      </c>
      <c r="D114" s="9" t="s">
        <v>1631</v>
      </c>
      <c r="E114" s="9" t="s">
        <v>2198</v>
      </c>
      <c r="F114" s="9" t="s">
        <v>2199</v>
      </c>
      <c r="G114" s="9" t="s">
        <v>1634</v>
      </c>
      <c r="H114" s="9" t="s">
        <v>2200</v>
      </c>
      <c r="I114" s="9" t="s">
        <v>2201</v>
      </c>
      <c r="J114" s="9" t="s">
        <v>2202</v>
      </c>
      <c r="K114" s="9" t="s">
        <v>1638</v>
      </c>
      <c r="L114" s="9" t="s">
        <v>1639</v>
      </c>
      <c r="M114" s="9" t="s">
        <v>562</v>
      </c>
      <c r="N114" s="9" t="s">
        <v>1640</v>
      </c>
    </row>
    <row r="115" customFormat="false" ht="41.25" hidden="false" customHeight="true" outlineLevel="0" collapsed="false">
      <c r="A115" s="9" t="s">
        <v>2203</v>
      </c>
      <c r="B115" s="9" t="s">
        <v>637</v>
      </c>
      <c r="C115" s="9" t="n">
        <v>2</v>
      </c>
      <c r="D115" s="9" t="s">
        <v>1631</v>
      </c>
      <c r="E115" s="9" t="s">
        <v>2204</v>
      </c>
      <c r="F115" s="9" t="s">
        <v>2205</v>
      </c>
      <c r="G115" s="9" t="s">
        <v>1634</v>
      </c>
      <c r="H115" s="9" t="s">
        <v>2206</v>
      </c>
      <c r="I115" s="9" t="s">
        <v>2207</v>
      </c>
      <c r="J115" s="9" t="s">
        <v>2202</v>
      </c>
      <c r="K115" s="9" t="s">
        <v>1638</v>
      </c>
      <c r="L115" s="9" t="s">
        <v>1639</v>
      </c>
      <c r="M115" s="9" t="s">
        <v>562</v>
      </c>
      <c r="N115" s="9" t="s">
        <v>1640</v>
      </c>
    </row>
    <row r="116" customFormat="false" ht="41.25" hidden="false" customHeight="true" outlineLevel="0" collapsed="false">
      <c r="A116" s="9" t="s">
        <v>2208</v>
      </c>
      <c r="B116" s="9" t="s">
        <v>637</v>
      </c>
      <c r="C116" s="9" t="n">
        <v>3</v>
      </c>
      <c r="D116" s="9" t="s">
        <v>1631</v>
      </c>
      <c r="E116" s="9" t="s">
        <v>2209</v>
      </c>
      <c r="F116" s="9" t="s">
        <v>2210</v>
      </c>
      <c r="G116" s="9" t="s">
        <v>1634</v>
      </c>
      <c r="H116" s="9" t="s">
        <v>2211</v>
      </c>
      <c r="I116" s="9" t="s">
        <v>2212</v>
      </c>
      <c r="J116" s="9" t="s">
        <v>2202</v>
      </c>
      <c r="K116" s="9" t="s">
        <v>1638</v>
      </c>
      <c r="L116" s="9" t="s">
        <v>1639</v>
      </c>
      <c r="M116" s="9" t="s">
        <v>562</v>
      </c>
      <c r="N116" s="9" t="s">
        <v>1640</v>
      </c>
    </row>
    <row r="117" customFormat="false" ht="54.75" hidden="false" customHeight="true" outlineLevel="0" collapsed="false">
      <c r="A117" s="9" t="s">
        <v>2213</v>
      </c>
      <c r="B117" s="9" t="s">
        <v>637</v>
      </c>
      <c r="C117" s="9" t="n">
        <v>4</v>
      </c>
      <c r="D117" s="9" t="s">
        <v>1652</v>
      </c>
      <c r="E117" s="9" t="s">
        <v>1924</v>
      </c>
      <c r="F117" s="9" t="s">
        <v>1925</v>
      </c>
      <c r="G117" s="9" t="s">
        <v>1926</v>
      </c>
      <c r="H117" s="9" t="s">
        <v>1673</v>
      </c>
      <c r="I117" s="9" t="s">
        <v>2214</v>
      </c>
      <c r="J117" s="9" t="s">
        <v>2215</v>
      </c>
      <c r="K117" s="9" t="s">
        <v>1659</v>
      </c>
      <c r="L117" s="9" t="s">
        <v>1660</v>
      </c>
      <c r="M117" s="9" t="s">
        <v>1661</v>
      </c>
      <c r="N117" s="9" t="s">
        <v>1662</v>
      </c>
    </row>
    <row r="118" customFormat="false" ht="54.75" hidden="false" customHeight="true" outlineLevel="0" collapsed="false">
      <c r="A118" s="9" t="s">
        <v>2216</v>
      </c>
      <c r="B118" s="9" t="s">
        <v>637</v>
      </c>
      <c r="C118" s="9" t="n">
        <v>5</v>
      </c>
      <c r="D118" s="9" t="s">
        <v>1652</v>
      </c>
      <c r="E118" s="9" t="s">
        <v>2217</v>
      </c>
      <c r="F118" s="9" t="s">
        <v>2218</v>
      </c>
      <c r="G118" s="9" t="s">
        <v>1920</v>
      </c>
      <c r="H118" s="9" t="s">
        <v>1713</v>
      </c>
      <c r="I118" s="9" t="s">
        <v>2219</v>
      </c>
      <c r="J118" s="9" t="s">
        <v>2215</v>
      </c>
      <c r="K118" s="9" t="s">
        <v>1659</v>
      </c>
      <c r="L118" s="9" t="s">
        <v>1660</v>
      </c>
      <c r="M118" s="9" t="s">
        <v>1661</v>
      </c>
      <c r="N118" s="9" t="s">
        <v>1662</v>
      </c>
    </row>
    <row r="119" customFormat="false" ht="54.75" hidden="false" customHeight="true" outlineLevel="0" collapsed="false">
      <c r="A119" s="9" t="s">
        <v>2220</v>
      </c>
      <c r="B119" s="9" t="s">
        <v>637</v>
      </c>
      <c r="C119" s="9" t="n">
        <v>6</v>
      </c>
      <c r="D119" s="9" t="s">
        <v>1652</v>
      </c>
      <c r="E119" s="9" t="s">
        <v>2221</v>
      </c>
      <c r="F119" s="9" t="s">
        <v>2222</v>
      </c>
      <c r="G119" s="9" t="s">
        <v>2066</v>
      </c>
      <c r="H119" s="9" t="s">
        <v>1656</v>
      </c>
      <c r="I119" s="9" t="s">
        <v>2223</v>
      </c>
      <c r="J119" s="9" t="s">
        <v>2215</v>
      </c>
      <c r="K119" s="9" t="s">
        <v>1659</v>
      </c>
      <c r="L119" s="9" t="s">
        <v>1660</v>
      </c>
      <c r="M119" s="9" t="s">
        <v>1661</v>
      </c>
      <c r="N119" s="9" t="s">
        <v>1662</v>
      </c>
    </row>
    <row r="120" customFormat="false" ht="54.75" hidden="false" customHeight="true" outlineLevel="0" collapsed="false">
      <c r="A120" s="9" t="s">
        <v>2224</v>
      </c>
      <c r="B120" s="9" t="s">
        <v>637</v>
      </c>
      <c r="C120" s="9" t="n">
        <v>7</v>
      </c>
      <c r="D120" s="9" t="s">
        <v>1676</v>
      </c>
      <c r="E120" s="9" t="s">
        <v>1677</v>
      </c>
      <c r="F120" s="9" t="s">
        <v>644</v>
      </c>
      <c r="G120" s="9" t="s">
        <v>1679</v>
      </c>
      <c r="H120" s="9" t="s">
        <v>1680</v>
      </c>
      <c r="I120" s="9" t="s">
        <v>2225</v>
      </c>
      <c r="J120" s="9" t="s">
        <v>2226</v>
      </c>
      <c r="K120" s="9" t="s">
        <v>1683</v>
      </c>
      <c r="L120" s="9" t="s">
        <v>1684</v>
      </c>
      <c r="M120" s="9" t="s">
        <v>1685</v>
      </c>
      <c r="N120" s="9" t="s">
        <v>1686</v>
      </c>
    </row>
    <row r="121" customFormat="false" ht="41.25" hidden="false" customHeight="true" outlineLevel="0" collapsed="false">
      <c r="A121" s="9" t="s">
        <v>2227</v>
      </c>
      <c r="B121" s="9" t="s">
        <v>661</v>
      </c>
      <c r="C121" s="9" t="n">
        <v>1</v>
      </c>
      <c r="D121" s="9" t="s">
        <v>1631</v>
      </c>
      <c r="E121" s="9" t="s">
        <v>2228</v>
      </c>
      <c r="F121" s="9" t="s">
        <v>2229</v>
      </c>
      <c r="G121" s="9" t="s">
        <v>1634</v>
      </c>
      <c r="H121" s="9" t="s">
        <v>2230</v>
      </c>
      <c r="I121" s="9" t="s">
        <v>2231</v>
      </c>
      <c r="J121" s="9" t="s">
        <v>2232</v>
      </c>
      <c r="K121" s="9" t="s">
        <v>1638</v>
      </c>
      <c r="L121" s="9" t="s">
        <v>1639</v>
      </c>
      <c r="M121" s="9" t="s">
        <v>562</v>
      </c>
      <c r="N121" s="9" t="s">
        <v>1640</v>
      </c>
    </row>
    <row r="122" customFormat="false" ht="41.25" hidden="false" customHeight="true" outlineLevel="0" collapsed="false">
      <c r="A122" s="9" t="s">
        <v>2233</v>
      </c>
      <c r="B122" s="9" t="s">
        <v>661</v>
      </c>
      <c r="C122" s="9" t="n">
        <v>2</v>
      </c>
      <c r="D122" s="9" t="s">
        <v>1631</v>
      </c>
      <c r="E122" s="9" t="s">
        <v>2234</v>
      </c>
      <c r="F122" s="9" t="s">
        <v>2235</v>
      </c>
      <c r="G122" s="9" t="s">
        <v>1634</v>
      </c>
      <c r="H122" s="9" t="s">
        <v>2236</v>
      </c>
      <c r="I122" s="9" t="s">
        <v>2237</v>
      </c>
      <c r="J122" s="9" t="s">
        <v>2232</v>
      </c>
      <c r="K122" s="9" t="s">
        <v>1638</v>
      </c>
      <c r="L122" s="9" t="s">
        <v>1639</v>
      </c>
      <c r="M122" s="9" t="s">
        <v>562</v>
      </c>
      <c r="N122" s="9" t="s">
        <v>1640</v>
      </c>
    </row>
    <row r="123" customFormat="false" ht="41.25" hidden="false" customHeight="true" outlineLevel="0" collapsed="false">
      <c r="A123" s="9" t="s">
        <v>2238</v>
      </c>
      <c r="B123" s="9" t="s">
        <v>661</v>
      </c>
      <c r="C123" s="9" t="n">
        <v>3</v>
      </c>
      <c r="D123" s="9" t="s">
        <v>1631</v>
      </c>
      <c r="E123" s="9" t="s">
        <v>2239</v>
      </c>
      <c r="F123" s="9" t="s">
        <v>2240</v>
      </c>
      <c r="G123" s="9" t="s">
        <v>1634</v>
      </c>
      <c r="H123" s="9" t="s">
        <v>2241</v>
      </c>
      <c r="I123" s="9" t="s">
        <v>2242</v>
      </c>
      <c r="J123" s="9" t="s">
        <v>2232</v>
      </c>
      <c r="K123" s="9" t="s">
        <v>1638</v>
      </c>
      <c r="L123" s="9" t="s">
        <v>1639</v>
      </c>
      <c r="M123" s="9" t="s">
        <v>562</v>
      </c>
      <c r="N123" s="9" t="s">
        <v>1640</v>
      </c>
    </row>
    <row r="124" customFormat="false" ht="54.75" hidden="false" customHeight="true" outlineLevel="0" collapsed="false">
      <c r="A124" s="9" t="s">
        <v>2243</v>
      </c>
      <c r="B124" s="9" t="s">
        <v>661</v>
      </c>
      <c r="C124" s="9" t="n">
        <v>4</v>
      </c>
      <c r="D124" s="9" t="s">
        <v>1652</v>
      </c>
      <c r="E124" s="9" t="s">
        <v>2244</v>
      </c>
      <c r="F124" s="9" t="s">
        <v>2245</v>
      </c>
      <c r="G124" s="9" t="s">
        <v>2246</v>
      </c>
      <c r="H124" s="9" t="s">
        <v>2247</v>
      </c>
      <c r="I124" s="9" t="s">
        <v>2248</v>
      </c>
      <c r="J124" s="9" t="s">
        <v>2249</v>
      </c>
      <c r="K124" s="9" t="s">
        <v>1659</v>
      </c>
      <c r="L124" s="9" t="s">
        <v>1660</v>
      </c>
      <c r="M124" s="9" t="s">
        <v>1661</v>
      </c>
      <c r="N124" s="9" t="s">
        <v>1662</v>
      </c>
    </row>
    <row r="125" customFormat="false" ht="54.75" hidden="false" customHeight="true" outlineLevel="0" collapsed="false">
      <c r="A125" s="9" t="s">
        <v>2250</v>
      </c>
      <c r="B125" s="9" t="s">
        <v>661</v>
      </c>
      <c r="C125" s="9" t="n">
        <v>5</v>
      </c>
      <c r="D125" s="9" t="s">
        <v>1652</v>
      </c>
      <c r="E125" s="9" t="s">
        <v>2251</v>
      </c>
      <c r="F125" s="9" t="s">
        <v>2252</v>
      </c>
      <c r="G125" s="9" t="s">
        <v>2253</v>
      </c>
      <c r="H125" s="9" t="s">
        <v>2254</v>
      </c>
      <c r="I125" s="9" t="s">
        <v>2255</v>
      </c>
      <c r="J125" s="9" t="s">
        <v>2249</v>
      </c>
      <c r="K125" s="9" t="s">
        <v>1659</v>
      </c>
      <c r="L125" s="9" t="s">
        <v>1660</v>
      </c>
      <c r="M125" s="9" t="s">
        <v>1661</v>
      </c>
      <c r="N125" s="9" t="s">
        <v>1662</v>
      </c>
    </row>
    <row r="126" customFormat="false" ht="54.75" hidden="false" customHeight="true" outlineLevel="0" collapsed="false">
      <c r="A126" s="9" t="s">
        <v>2256</v>
      </c>
      <c r="B126" s="9" t="s">
        <v>661</v>
      </c>
      <c r="C126" s="9" t="n">
        <v>6</v>
      </c>
      <c r="D126" s="9" t="s">
        <v>1652</v>
      </c>
      <c r="E126" s="9" t="s">
        <v>2058</v>
      </c>
      <c r="F126" s="9" t="s">
        <v>2059</v>
      </c>
      <c r="G126" s="9" t="s">
        <v>2060</v>
      </c>
      <c r="H126" s="9" t="s">
        <v>2061</v>
      </c>
      <c r="I126" s="9" t="s">
        <v>2257</v>
      </c>
      <c r="J126" s="9" t="s">
        <v>2249</v>
      </c>
      <c r="K126" s="9" t="s">
        <v>1659</v>
      </c>
      <c r="L126" s="9" t="s">
        <v>1660</v>
      </c>
      <c r="M126" s="9" t="s">
        <v>1661</v>
      </c>
      <c r="N126" s="9" t="s">
        <v>1662</v>
      </c>
    </row>
    <row r="127" customFormat="false" ht="41.25" hidden="false" customHeight="true" outlineLevel="0" collapsed="false">
      <c r="A127" s="9" t="s">
        <v>2258</v>
      </c>
      <c r="B127" s="9" t="s">
        <v>661</v>
      </c>
      <c r="C127" s="9" t="n">
        <v>7</v>
      </c>
      <c r="D127" s="9" t="s">
        <v>1676</v>
      </c>
      <c r="E127" s="9" t="s">
        <v>1677</v>
      </c>
      <c r="F127" s="9" t="s">
        <v>2259</v>
      </c>
      <c r="G127" s="9" t="s">
        <v>1679</v>
      </c>
      <c r="H127" s="9" t="s">
        <v>1680</v>
      </c>
      <c r="I127" s="9" t="s">
        <v>2260</v>
      </c>
      <c r="J127" s="9" t="s">
        <v>668</v>
      </c>
      <c r="K127" s="9" t="s">
        <v>1683</v>
      </c>
      <c r="L127" s="9" t="s">
        <v>1684</v>
      </c>
      <c r="M127" s="9" t="s">
        <v>1685</v>
      </c>
      <c r="N127" s="9" t="s">
        <v>1686</v>
      </c>
    </row>
    <row r="128" customFormat="false" ht="41.25" hidden="false" customHeight="true" outlineLevel="0" collapsed="false">
      <c r="A128" s="9" t="s">
        <v>2261</v>
      </c>
      <c r="B128" s="9" t="s">
        <v>699</v>
      </c>
      <c r="C128" s="9" t="n">
        <v>1</v>
      </c>
      <c r="D128" s="9" t="s">
        <v>1631</v>
      </c>
      <c r="E128" s="9" t="s">
        <v>2262</v>
      </c>
      <c r="F128" s="9" t="s">
        <v>2263</v>
      </c>
      <c r="G128" s="9" t="s">
        <v>1634</v>
      </c>
      <c r="H128" s="9" t="s">
        <v>2264</v>
      </c>
      <c r="I128" s="9" t="s">
        <v>2265</v>
      </c>
      <c r="J128" s="9" t="s">
        <v>2266</v>
      </c>
      <c r="K128" s="9" t="s">
        <v>1638</v>
      </c>
      <c r="L128" s="9" t="s">
        <v>1639</v>
      </c>
      <c r="M128" s="9" t="s">
        <v>562</v>
      </c>
      <c r="N128" s="9" t="s">
        <v>1640</v>
      </c>
    </row>
    <row r="129" customFormat="false" ht="41.25" hidden="false" customHeight="true" outlineLevel="0" collapsed="false">
      <c r="A129" s="9" t="s">
        <v>2267</v>
      </c>
      <c r="B129" s="9" t="s">
        <v>699</v>
      </c>
      <c r="C129" s="9" t="n">
        <v>2</v>
      </c>
      <c r="D129" s="9" t="s">
        <v>1631</v>
      </c>
      <c r="E129" s="9" t="s">
        <v>2268</v>
      </c>
      <c r="F129" s="9" t="s">
        <v>2269</v>
      </c>
      <c r="G129" s="9" t="s">
        <v>1634</v>
      </c>
      <c r="H129" s="9" t="s">
        <v>2270</v>
      </c>
      <c r="I129" s="9" t="s">
        <v>2271</v>
      </c>
      <c r="J129" s="9" t="s">
        <v>2266</v>
      </c>
      <c r="K129" s="9" t="s">
        <v>1638</v>
      </c>
      <c r="L129" s="9" t="s">
        <v>1639</v>
      </c>
      <c r="M129" s="9" t="s">
        <v>562</v>
      </c>
      <c r="N129" s="9" t="s">
        <v>1640</v>
      </c>
    </row>
    <row r="130" customFormat="false" ht="41.25" hidden="false" customHeight="true" outlineLevel="0" collapsed="false">
      <c r="A130" s="9" t="s">
        <v>2272</v>
      </c>
      <c r="B130" s="9" t="s">
        <v>699</v>
      </c>
      <c r="C130" s="9" t="n">
        <v>3</v>
      </c>
      <c r="D130" s="9" t="s">
        <v>1631</v>
      </c>
      <c r="E130" s="9" t="s">
        <v>2273</v>
      </c>
      <c r="F130" s="9" t="s">
        <v>2274</v>
      </c>
      <c r="G130" s="9" t="s">
        <v>1634</v>
      </c>
      <c r="H130" s="9" t="s">
        <v>2275</v>
      </c>
      <c r="I130" s="9" t="s">
        <v>2276</v>
      </c>
      <c r="J130" s="9" t="s">
        <v>2266</v>
      </c>
      <c r="K130" s="9" t="s">
        <v>1638</v>
      </c>
      <c r="L130" s="9" t="s">
        <v>1639</v>
      </c>
      <c r="M130" s="9" t="s">
        <v>562</v>
      </c>
      <c r="N130" s="9" t="s">
        <v>1640</v>
      </c>
    </row>
    <row r="131" customFormat="false" ht="54.75" hidden="false" customHeight="true" outlineLevel="0" collapsed="false">
      <c r="A131" s="9" t="s">
        <v>2277</v>
      </c>
      <c r="B131" s="9" t="s">
        <v>699</v>
      </c>
      <c r="C131" s="9" t="n">
        <v>4</v>
      </c>
      <c r="D131" s="9" t="s">
        <v>1652</v>
      </c>
      <c r="E131" s="9" t="s">
        <v>2278</v>
      </c>
      <c r="F131" s="9" t="s">
        <v>2279</v>
      </c>
      <c r="G131" s="9" t="s">
        <v>1706</v>
      </c>
      <c r="H131" s="9" t="s">
        <v>1667</v>
      </c>
      <c r="I131" s="9" t="s">
        <v>1886</v>
      </c>
      <c r="J131" s="9" t="s">
        <v>2280</v>
      </c>
      <c r="K131" s="9" t="s">
        <v>1659</v>
      </c>
      <c r="L131" s="9" t="s">
        <v>1660</v>
      </c>
      <c r="M131" s="9" t="s">
        <v>1661</v>
      </c>
      <c r="N131" s="9" t="s">
        <v>1662</v>
      </c>
    </row>
    <row r="132" customFormat="false" ht="54.75" hidden="false" customHeight="true" outlineLevel="0" collapsed="false">
      <c r="A132" s="9" t="s">
        <v>2281</v>
      </c>
      <c r="B132" s="9" t="s">
        <v>699</v>
      </c>
      <c r="C132" s="9" t="n">
        <v>5</v>
      </c>
      <c r="D132" s="9" t="s">
        <v>1652</v>
      </c>
      <c r="E132" s="9" t="s">
        <v>1889</v>
      </c>
      <c r="F132" s="9" t="s">
        <v>1890</v>
      </c>
      <c r="G132" s="9" t="s">
        <v>1826</v>
      </c>
      <c r="H132" s="9" t="s">
        <v>1656</v>
      </c>
      <c r="I132" s="9" t="s">
        <v>2282</v>
      </c>
      <c r="J132" s="9" t="s">
        <v>2280</v>
      </c>
      <c r="K132" s="9" t="s">
        <v>1659</v>
      </c>
      <c r="L132" s="9" t="s">
        <v>1660</v>
      </c>
      <c r="M132" s="9" t="s">
        <v>1661</v>
      </c>
      <c r="N132" s="9" t="s">
        <v>1662</v>
      </c>
    </row>
    <row r="133" customFormat="false" ht="54.75" hidden="false" customHeight="true" outlineLevel="0" collapsed="false">
      <c r="A133" s="9" t="s">
        <v>2283</v>
      </c>
      <c r="B133" s="9" t="s">
        <v>699</v>
      </c>
      <c r="C133" s="9" t="n">
        <v>6</v>
      </c>
      <c r="D133" s="9" t="s">
        <v>1652</v>
      </c>
      <c r="E133" s="9" t="s">
        <v>1924</v>
      </c>
      <c r="F133" s="9" t="s">
        <v>1925</v>
      </c>
      <c r="G133" s="9" t="s">
        <v>2129</v>
      </c>
      <c r="H133" s="9" t="s">
        <v>1673</v>
      </c>
      <c r="I133" s="9" t="s">
        <v>2101</v>
      </c>
      <c r="J133" s="9" t="s">
        <v>2280</v>
      </c>
      <c r="K133" s="9" t="s">
        <v>1659</v>
      </c>
      <c r="L133" s="9" t="s">
        <v>1660</v>
      </c>
      <c r="M133" s="9" t="s">
        <v>1661</v>
      </c>
      <c r="N133" s="9" t="s">
        <v>1662</v>
      </c>
    </row>
    <row r="134" customFormat="false" ht="41.25" hidden="false" customHeight="true" outlineLevel="0" collapsed="false">
      <c r="A134" s="9" t="s">
        <v>2284</v>
      </c>
      <c r="B134" s="9" t="s">
        <v>699</v>
      </c>
      <c r="C134" s="9" t="n">
        <v>7</v>
      </c>
      <c r="D134" s="9" t="s">
        <v>1676</v>
      </c>
      <c r="E134" s="9" t="s">
        <v>1677</v>
      </c>
      <c r="F134" s="9" t="s">
        <v>2285</v>
      </c>
      <c r="G134" s="9" t="s">
        <v>1679</v>
      </c>
      <c r="H134" s="9" t="s">
        <v>1680</v>
      </c>
      <c r="I134" s="9" t="s">
        <v>2286</v>
      </c>
      <c r="J134" s="9" t="s">
        <v>704</v>
      </c>
      <c r="K134" s="9" t="s">
        <v>1683</v>
      </c>
      <c r="L134" s="9" t="s">
        <v>1684</v>
      </c>
      <c r="M134" s="9" t="s">
        <v>1685</v>
      </c>
      <c r="N134" s="9" t="s">
        <v>1686</v>
      </c>
    </row>
    <row r="135" customFormat="false" ht="41.25" hidden="false" customHeight="true" outlineLevel="0" collapsed="false">
      <c r="A135" s="9" t="s">
        <v>2287</v>
      </c>
      <c r="B135" s="9" t="s">
        <v>729</v>
      </c>
      <c r="C135" s="9" t="n">
        <v>1</v>
      </c>
      <c r="D135" s="9" t="s">
        <v>1631</v>
      </c>
      <c r="E135" s="9" t="s">
        <v>2288</v>
      </c>
      <c r="F135" s="9" t="s">
        <v>2289</v>
      </c>
      <c r="G135" s="9" t="s">
        <v>1634</v>
      </c>
      <c r="H135" s="9" t="s">
        <v>2290</v>
      </c>
      <c r="I135" s="9" t="s">
        <v>2291</v>
      </c>
      <c r="J135" s="9" t="s">
        <v>2292</v>
      </c>
      <c r="K135" s="9" t="s">
        <v>1638</v>
      </c>
      <c r="L135" s="9" t="s">
        <v>1639</v>
      </c>
      <c r="M135" s="9" t="s">
        <v>562</v>
      </c>
      <c r="N135" s="9" t="s">
        <v>1640</v>
      </c>
    </row>
    <row r="136" customFormat="false" ht="41.25" hidden="false" customHeight="true" outlineLevel="0" collapsed="false">
      <c r="A136" s="9" t="s">
        <v>2293</v>
      </c>
      <c r="B136" s="9" t="s">
        <v>729</v>
      </c>
      <c r="C136" s="9" t="n">
        <v>2</v>
      </c>
      <c r="D136" s="9" t="s">
        <v>1631</v>
      </c>
      <c r="E136" s="9" t="s">
        <v>2294</v>
      </c>
      <c r="F136" s="9" t="s">
        <v>2295</v>
      </c>
      <c r="G136" s="9" t="s">
        <v>1634</v>
      </c>
      <c r="H136" s="9" t="s">
        <v>2296</v>
      </c>
      <c r="I136" s="9" t="s">
        <v>2297</v>
      </c>
      <c r="J136" s="9" t="s">
        <v>2292</v>
      </c>
      <c r="K136" s="9" t="s">
        <v>1638</v>
      </c>
      <c r="L136" s="9" t="s">
        <v>1639</v>
      </c>
      <c r="M136" s="9" t="s">
        <v>562</v>
      </c>
      <c r="N136" s="9" t="s">
        <v>1640</v>
      </c>
    </row>
    <row r="137" customFormat="false" ht="41.25" hidden="false" customHeight="true" outlineLevel="0" collapsed="false">
      <c r="A137" s="9" t="s">
        <v>2298</v>
      </c>
      <c r="B137" s="9" t="s">
        <v>729</v>
      </c>
      <c r="C137" s="9" t="n">
        <v>3</v>
      </c>
      <c r="D137" s="9" t="s">
        <v>1631</v>
      </c>
      <c r="E137" s="9" t="s">
        <v>2299</v>
      </c>
      <c r="F137" s="9" t="s">
        <v>2300</v>
      </c>
      <c r="G137" s="9" t="s">
        <v>1634</v>
      </c>
      <c r="H137" s="9" t="s">
        <v>2301</v>
      </c>
      <c r="I137" s="9" t="s">
        <v>2302</v>
      </c>
      <c r="J137" s="9" t="s">
        <v>2292</v>
      </c>
      <c r="K137" s="9" t="s">
        <v>1638</v>
      </c>
      <c r="L137" s="9" t="s">
        <v>1639</v>
      </c>
      <c r="M137" s="9" t="s">
        <v>562</v>
      </c>
      <c r="N137" s="9" t="s">
        <v>1640</v>
      </c>
    </row>
    <row r="138" customFormat="false" ht="54.75" hidden="false" customHeight="true" outlineLevel="0" collapsed="false">
      <c r="A138" s="9" t="s">
        <v>2303</v>
      </c>
      <c r="B138" s="9" t="s">
        <v>729</v>
      </c>
      <c r="C138" s="9" t="n">
        <v>4</v>
      </c>
      <c r="D138" s="9" t="s">
        <v>1652</v>
      </c>
      <c r="E138" s="9" t="s">
        <v>2304</v>
      </c>
      <c r="F138" s="9" t="s">
        <v>2305</v>
      </c>
      <c r="G138" s="9" t="s">
        <v>2306</v>
      </c>
      <c r="H138" s="9" t="s">
        <v>1667</v>
      </c>
      <c r="I138" s="9" t="s">
        <v>2307</v>
      </c>
      <c r="J138" s="9" t="s">
        <v>2308</v>
      </c>
      <c r="K138" s="9" t="s">
        <v>1659</v>
      </c>
      <c r="L138" s="9" t="s">
        <v>1660</v>
      </c>
      <c r="M138" s="9" t="s">
        <v>1661</v>
      </c>
      <c r="N138" s="9" t="s">
        <v>1662</v>
      </c>
    </row>
    <row r="139" customFormat="false" ht="54.75" hidden="false" customHeight="true" outlineLevel="0" collapsed="false">
      <c r="A139" s="9" t="s">
        <v>2309</v>
      </c>
      <c r="B139" s="9" t="s">
        <v>729</v>
      </c>
      <c r="C139" s="9" t="n">
        <v>5</v>
      </c>
      <c r="D139" s="9" t="s">
        <v>1652</v>
      </c>
      <c r="E139" s="9" t="s">
        <v>2310</v>
      </c>
      <c r="F139" s="9" t="s">
        <v>2311</v>
      </c>
      <c r="G139" s="9" t="s">
        <v>1672</v>
      </c>
      <c r="H139" s="9" t="s">
        <v>1673</v>
      </c>
      <c r="I139" s="9" t="s">
        <v>2312</v>
      </c>
      <c r="J139" s="9" t="s">
        <v>2308</v>
      </c>
      <c r="K139" s="9" t="s">
        <v>1659</v>
      </c>
      <c r="L139" s="9" t="s">
        <v>1660</v>
      </c>
      <c r="M139" s="9" t="s">
        <v>1661</v>
      </c>
      <c r="N139" s="9" t="s">
        <v>1662</v>
      </c>
    </row>
    <row r="140" customFormat="false" ht="54.75" hidden="false" customHeight="true" outlineLevel="0" collapsed="false">
      <c r="A140" s="9" t="s">
        <v>2313</v>
      </c>
      <c r="B140" s="9" t="s">
        <v>729</v>
      </c>
      <c r="C140" s="9" t="n">
        <v>6</v>
      </c>
      <c r="D140" s="9" t="s">
        <v>1652</v>
      </c>
      <c r="E140" s="9" t="s">
        <v>2314</v>
      </c>
      <c r="F140" s="9" t="s">
        <v>2315</v>
      </c>
      <c r="G140" s="9" t="s">
        <v>2163</v>
      </c>
      <c r="H140" s="9" t="s">
        <v>1667</v>
      </c>
      <c r="I140" s="9" t="s">
        <v>2316</v>
      </c>
      <c r="J140" s="9" t="s">
        <v>2308</v>
      </c>
      <c r="K140" s="9" t="s">
        <v>1659</v>
      </c>
      <c r="L140" s="9" t="s">
        <v>1660</v>
      </c>
      <c r="M140" s="9" t="s">
        <v>1661</v>
      </c>
      <c r="N140" s="9" t="s">
        <v>1662</v>
      </c>
    </row>
    <row r="141" customFormat="false" ht="41.25" hidden="false" customHeight="true" outlineLevel="0" collapsed="false">
      <c r="A141" s="9" t="s">
        <v>2317</v>
      </c>
      <c r="B141" s="9" t="s">
        <v>729</v>
      </c>
      <c r="C141" s="9" t="n">
        <v>7</v>
      </c>
      <c r="D141" s="9" t="s">
        <v>1676</v>
      </c>
      <c r="E141" s="9" t="s">
        <v>1677</v>
      </c>
      <c r="F141" s="9" t="s">
        <v>2318</v>
      </c>
      <c r="G141" s="9" t="s">
        <v>1679</v>
      </c>
      <c r="H141" s="9" t="s">
        <v>1680</v>
      </c>
      <c r="I141" s="9" t="s">
        <v>2319</v>
      </c>
      <c r="J141" s="9" t="s">
        <v>2320</v>
      </c>
      <c r="K141" s="9" t="s">
        <v>1683</v>
      </c>
      <c r="L141" s="9" t="s">
        <v>1684</v>
      </c>
      <c r="M141" s="9" t="s">
        <v>1685</v>
      </c>
      <c r="N141" s="9" t="s">
        <v>1686</v>
      </c>
    </row>
    <row r="142" customFormat="false" ht="41.25" hidden="false" customHeight="true" outlineLevel="0" collapsed="false">
      <c r="A142" s="9" t="s">
        <v>2321</v>
      </c>
      <c r="B142" s="9" t="s">
        <v>760</v>
      </c>
      <c r="C142" s="9" t="n">
        <v>1</v>
      </c>
      <c r="D142" s="9" t="s">
        <v>1631</v>
      </c>
      <c r="E142" s="9" t="s">
        <v>2322</v>
      </c>
      <c r="F142" s="9" t="s">
        <v>2323</v>
      </c>
      <c r="G142" s="9" t="s">
        <v>1634</v>
      </c>
      <c r="H142" s="9" t="s">
        <v>2324</v>
      </c>
      <c r="I142" s="9" t="s">
        <v>2325</v>
      </c>
      <c r="J142" s="9" t="s">
        <v>2326</v>
      </c>
      <c r="K142" s="9" t="s">
        <v>1638</v>
      </c>
      <c r="L142" s="9" t="s">
        <v>1639</v>
      </c>
      <c r="M142" s="9" t="s">
        <v>562</v>
      </c>
      <c r="N142" s="9" t="s">
        <v>1640</v>
      </c>
    </row>
    <row r="143" customFormat="false" ht="41.25" hidden="false" customHeight="true" outlineLevel="0" collapsed="false">
      <c r="A143" s="9" t="s">
        <v>2327</v>
      </c>
      <c r="B143" s="9" t="s">
        <v>760</v>
      </c>
      <c r="C143" s="9" t="n">
        <v>2</v>
      </c>
      <c r="D143" s="9" t="s">
        <v>1631</v>
      </c>
      <c r="E143" s="9" t="s">
        <v>2328</v>
      </c>
      <c r="F143" s="9" t="s">
        <v>2329</v>
      </c>
      <c r="G143" s="9" t="s">
        <v>1634</v>
      </c>
      <c r="H143" s="9" t="s">
        <v>2330</v>
      </c>
      <c r="I143" s="9" t="s">
        <v>2331</v>
      </c>
      <c r="J143" s="9" t="s">
        <v>2326</v>
      </c>
      <c r="K143" s="9" t="s">
        <v>1638</v>
      </c>
      <c r="L143" s="9" t="s">
        <v>1639</v>
      </c>
      <c r="M143" s="9" t="s">
        <v>562</v>
      </c>
      <c r="N143" s="9" t="s">
        <v>1640</v>
      </c>
    </row>
    <row r="144" customFormat="false" ht="41.25" hidden="false" customHeight="true" outlineLevel="0" collapsed="false">
      <c r="A144" s="9" t="s">
        <v>2332</v>
      </c>
      <c r="B144" s="9" t="s">
        <v>760</v>
      </c>
      <c r="C144" s="9" t="n">
        <v>3</v>
      </c>
      <c r="D144" s="9" t="s">
        <v>1631</v>
      </c>
      <c r="E144" s="9" t="s">
        <v>2333</v>
      </c>
      <c r="F144" s="9" t="s">
        <v>2334</v>
      </c>
      <c r="G144" s="9" t="s">
        <v>1634</v>
      </c>
      <c r="H144" s="9" t="s">
        <v>2335</v>
      </c>
      <c r="I144" s="9" t="s">
        <v>2336</v>
      </c>
      <c r="J144" s="9" t="s">
        <v>2326</v>
      </c>
      <c r="K144" s="9" t="s">
        <v>1638</v>
      </c>
      <c r="L144" s="9" t="s">
        <v>1639</v>
      </c>
      <c r="M144" s="9" t="s">
        <v>562</v>
      </c>
      <c r="N144" s="9" t="s">
        <v>1640</v>
      </c>
    </row>
    <row r="145" customFormat="false" ht="54.75" hidden="false" customHeight="true" outlineLevel="0" collapsed="false">
      <c r="A145" s="9" t="s">
        <v>2337</v>
      </c>
      <c r="B145" s="9" t="s">
        <v>760</v>
      </c>
      <c r="C145" s="9" t="n">
        <v>4</v>
      </c>
      <c r="D145" s="9" t="s">
        <v>1652</v>
      </c>
      <c r="E145" s="9" t="s">
        <v>2058</v>
      </c>
      <c r="F145" s="9" t="s">
        <v>2059</v>
      </c>
      <c r="G145" s="9" t="s">
        <v>2338</v>
      </c>
      <c r="H145" s="9" t="s">
        <v>2061</v>
      </c>
      <c r="I145" s="9" t="s">
        <v>2127</v>
      </c>
      <c r="J145" s="9" t="s">
        <v>2339</v>
      </c>
      <c r="K145" s="9" t="s">
        <v>1659</v>
      </c>
      <c r="L145" s="9" t="s">
        <v>1660</v>
      </c>
      <c r="M145" s="9" t="s">
        <v>1661</v>
      </c>
      <c r="N145" s="9" t="s">
        <v>1662</v>
      </c>
    </row>
    <row r="146" customFormat="false" ht="54.75" hidden="false" customHeight="true" outlineLevel="0" collapsed="false">
      <c r="A146" s="9" t="s">
        <v>2340</v>
      </c>
      <c r="B146" s="9" t="s">
        <v>760</v>
      </c>
      <c r="C146" s="9" t="n">
        <v>5</v>
      </c>
      <c r="D146" s="9" t="s">
        <v>1652</v>
      </c>
      <c r="E146" s="9" t="s">
        <v>2341</v>
      </c>
      <c r="F146" s="9" t="s">
        <v>2342</v>
      </c>
      <c r="G146" s="9" t="s">
        <v>1672</v>
      </c>
      <c r="H146" s="9" t="s">
        <v>1673</v>
      </c>
      <c r="I146" s="9" t="s">
        <v>2343</v>
      </c>
      <c r="J146" s="9" t="s">
        <v>2339</v>
      </c>
      <c r="K146" s="9" t="s">
        <v>1659</v>
      </c>
      <c r="L146" s="9" t="s">
        <v>1660</v>
      </c>
      <c r="M146" s="9" t="s">
        <v>1661</v>
      </c>
      <c r="N146" s="9" t="s">
        <v>1662</v>
      </c>
    </row>
    <row r="147" customFormat="false" ht="54.75" hidden="false" customHeight="true" outlineLevel="0" collapsed="false">
      <c r="A147" s="9" t="s">
        <v>2344</v>
      </c>
      <c r="B147" s="9" t="s">
        <v>760</v>
      </c>
      <c r="C147" s="9" t="n">
        <v>6</v>
      </c>
      <c r="D147" s="9" t="s">
        <v>1652</v>
      </c>
      <c r="E147" s="9" t="s">
        <v>2345</v>
      </c>
      <c r="F147" s="9" t="s">
        <v>2346</v>
      </c>
      <c r="G147" s="9" t="s">
        <v>2347</v>
      </c>
      <c r="H147" s="9" t="s">
        <v>2061</v>
      </c>
      <c r="I147" s="9" t="s">
        <v>2348</v>
      </c>
      <c r="J147" s="9" t="s">
        <v>2339</v>
      </c>
      <c r="K147" s="9" t="s">
        <v>1659</v>
      </c>
      <c r="L147" s="9" t="s">
        <v>1660</v>
      </c>
      <c r="M147" s="9" t="s">
        <v>1661</v>
      </c>
      <c r="N147" s="9" t="s">
        <v>1662</v>
      </c>
    </row>
    <row r="148" customFormat="false" ht="41.25" hidden="false" customHeight="true" outlineLevel="0" collapsed="false">
      <c r="A148" s="9" t="s">
        <v>2349</v>
      </c>
      <c r="B148" s="9" t="s">
        <v>760</v>
      </c>
      <c r="C148" s="9" t="n">
        <v>7</v>
      </c>
      <c r="D148" s="9" t="s">
        <v>1676</v>
      </c>
      <c r="E148" s="9" t="s">
        <v>1677</v>
      </c>
      <c r="F148" s="9" t="s">
        <v>2350</v>
      </c>
      <c r="G148" s="9" t="s">
        <v>1679</v>
      </c>
      <c r="H148" s="9" t="s">
        <v>1680</v>
      </c>
      <c r="I148" s="9" t="s">
        <v>2351</v>
      </c>
      <c r="J148" s="9" t="s">
        <v>2352</v>
      </c>
      <c r="K148" s="9" t="s">
        <v>1683</v>
      </c>
      <c r="L148" s="9" t="s">
        <v>1684</v>
      </c>
      <c r="M148" s="9" t="s">
        <v>1685</v>
      </c>
      <c r="N148" s="9" t="s">
        <v>1686</v>
      </c>
    </row>
    <row r="149" customFormat="false" ht="41.25" hidden="false" customHeight="true" outlineLevel="0" collapsed="false">
      <c r="A149" s="9" t="s">
        <v>2353</v>
      </c>
      <c r="B149" s="9" t="s">
        <v>790</v>
      </c>
      <c r="C149" s="9" t="n">
        <v>1</v>
      </c>
      <c r="D149" s="9" t="s">
        <v>1631</v>
      </c>
      <c r="E149" s="9" t="s">
        <v>2354</v>
      </c>
      <c r="F149" s="9" t="s">
        <v>2355</v>
      </c>
      <c r="G149" s="9" t="s">
        <v>1634</v>
      </c>
      <c r="H149" s="9" t="s">
        <v>2356</v>
      </c>
      <c r="I149" s="9" t="s">
        <v>2357</v>
      </c>
      <c r="J149" s="9" t="s">
        <v>2358</v>
      </c>
      <c r="K149" s="9" t="s">
        <v>1638</v>
      </c>
      <c r="L149" s="9" t="s">
        <v>1639</v>
      </c>
      <c r="M149" s="9" t="s">
        <v>562</v>
      </c>
      <c r="N149" s="9" t="s">
        <v>1640</v>
      </c>
    </row>
    <row r="150" customFormat="false" ht="41.25" hidden="false" customHeight="true" outlineLevel="0" collapsed="false">
      <c r="A150" s="9" t="s">
        <v>2359</v>
      </c>
      <c r="B150" s="9" t="s">
        <v>790</v>
      </c>
      <c r="C150" s="9" t="n">
        <v>2</v>
      </c>
      <c r="D150" s="9" t="s">
        <v>1631</v>
      </c>
      <c r="E150" s="9" t="s">
        <v>2360</v>
      </c>
      <c r="F150" s="9" t="s">
        <v>2361</v>
      </c>
      <c r="G150" s="9" t="s">
        <v>1634</v>
      </c>
      <c r="H150" s="9" t="s">
        <v>2362</v>
      </c>
      <c r="I150" s="9" t="s">
        <v>2363</v>
      </c>
      <c r="J150" s="9" t="s">
        <v>2358</v>
      </c>
      <c r="K150" s="9" t="s">
        <v>1638</v>
      </c>
      <c r="L150" s="9" t="s">
        <v>1639</v>
      </c>
      <c r="M150" s="9" t="s">
        <v>562</v>
      </c>
      <c r="N150" s="9" t="s">
        <v>1640</v>
      </c>
    </row>
    <row r="151" customFormat="false" ht="41.25" hidden="false" customHeight="true" outlineLevel="0" collapsed="false">
      <c r="A151" s="9" t="s">
        <v>2364</v>
      </c>
      <c r="B151" s="9" t="s">
        <v>790</v>
      </c>
      <c r="C151" s="9" t="n">
        <v>3</v>
      </c>
      <c r="D151" s="9" t="s">
        <v>1631</v>
      </c>
      <c r="E151" s="9" t="s">
        <v>2365</v>
      </c>
      <c r="F151" s="9" t="s">
        <v>476</v>
      </c>
      <c r="G151" s="9" t="s">
        <v>1634</v>
      </c>
      <c r="H151" s="9" t="s">
        <v>2366</v>
      </c>
      <c r="I151" s="9" t="s">
        <v>2367</v>
      </c>
      <c r="J151" s="9" t="s">
        <v>2358</v>
      </c>
      <c r="K151" s="9" t="s">
        <v>1638</v>
      </c>
      <c r="L151" s="9" t="s">
        <v>1639</v>
      </c>
      <c r="M151" s="9" t="s">
        <v>562</v>
      </c>
      <c r="N151" s="9" t="s">
        <v>1640</v>
      </c>
    </row>
    <row r="152" customFormat="false" ht="54.75" hidden="false" customHeight="true" outlineLevel="0" collapsed="false">
      <c r="A152" s="9" t="s">
        <v>2368</v>
      </c>
      <c r="B152" s="9" t="s">
        <v>790</v>
      </c>
      <c r="C152" s="9" t="n">
        <v>4</v>
      </c>
      <c r="D152" s="9" t="s">
        <v>1652</v>
      </c>
      <c r="E152" s="9" t="s">
        <v>2369</v>
      </c>
      <c r="F152" s="9" t="s">
        <v>2370</v>
      </c>
      <c r="G152" s="9" t="s">
        <v>1826</v>
      </c>
      <c r="H152" s="9" t="s">
        <v>1656</v>
      </c>
      <c r="I152" s="9" t="s">
        <v>2371</v>
      </c>
      <c r="J152" s="9" t="s">
        <v>2372</v>
      </c>
      <c r="K152" s="9" t="s">
        <v>1659</v>
      </c>
      <c r="L152" s="9" t="s">
        <v>1660</v>
      </c>
      <c r="M152" s="9" t="s">
        <v>1661</v>
      </c>
      <c r="N152" s="9" t="s">
        <v>1662</v>
      </c>
    </row>
    <row r="153" customFormat="false" ht="54.75" hidden="false" customHeight="true" outlineLevel="0" collapsed="false">
      <c r="A153" s="9" t="s">
        <v>2373</v>
      </c>
      <c r="B153" s="9" t="s">
        <v>790</v>
      </c>
      <c r="C153" s="9" t="n">
        <v>5</v>
      </c>
      <c r="D153" s="9" t="s">
        <v>1652</v>
      </c>
      <c r="E153" s="9" t="s">
        <v>2374</v>
      </c>
      <c r="F153" s="9" t="s">
        <v>2375</v>
      </c>
      <c r="G153" s="9" t="s">
        <v>1826</v>
      </c>
      <c r="H153" s="9" t="s">
        <v>1754</v>
      </c>
      <c r="I153" s="9" t="s">
        <v>2376</v>
      </c>
      <c r="J153" s="9" t="s">
        <v>2372</v>
      </c>
      <c r="K153" s="9" t="s">
        <v>1659</v>
      </c>
      <c r="L153" s="9" t="s">
        <v>1660</v>
      </c>
      <c r="M153" s="9" t="s">
        <v>1661</v>
      </c>
      <c r="N153" s="9" t="s">
        <v>1662</v>
      </c>
    </row>
    <row r="154" customFormat="false" ht="54.75" hidden="false" customHeight="true" outlineLevel="0" collapsed="false">
      <c r="A154" s="9" t="s">
        <v>2377</v>
      </c>
      <c r="B154" s="9" t="s">
        <v>790</v>
      </c>
      <c r="C154" s="9" t="n">
        <v>6</v>
      </c>
      <c r="D154" s="9" t="s">
        <v>1652</v>
      </c>
      <c r="E154" s="9" t="s">
        <v>2378</v>
      </c>
      <c r="F154" s="9" t="s">
        <v>2379</v>
      </c>
      <c r="G154" s="9" t="s">
        <v>1931</v>
      </c>
      <c r="H154" s="9" t="s">
        <v>1754</v>
      </c>
      <c r="I154" s="9" t="s">
        <v>2380</v>
      </c>
      <c r="J154" s="9" t="s">
        <v>2372</v>
      </c>
      <c r="K154" s="9" t="s">
        <v>1659</v>
      </c>
      <c r="L154" s="9" t="s">
        <v>1660</v>
      </c>
      <c r="M154" s="9" t="s">
        <v>1661</v>
      </c>
      <c r="N154" s="9" t="s">
        <v>1662</v>
      </c>
    </row>
    <row r="155" customFormat="false" ht="41.25" hidden="false" customHeight="true" outlineLevel="0" collapsed="false">
      <c r="A155" s="9" t="s">
        <v>2381</v>
      </c>
      <c r="B155" s="9" t="s">
        <v>790</v>
      </c>
      <c r="C155" s="9" t="n">
        <v>7</v>
      </c>
      <c r="D155" s="9" t="s">
        <v>1676</v>
      </c>
      <c r="E155" s="9" t="s">
        <v>1677</v>
      </c>
      <c r="F155" s="9" t="s">
        <v>2382</v>
      </c>
      <c r="G155" s="9" t="s">
        <v>1679</v>
      </c>
      <c r="H155" s="9" t="s">
        <v>1680</v>
      </c>
      <c r="I155" s="9" t="s">
        <v>2383</v>
      </c>
      <c r="J155" s="9" t="s">
        <v>2384</v>
      </c>
      <c r="K155" s="9" t="s">
        <v>1683</v>
      </c>
      <c r="L155" s="9" t="s">
        <v>1684</v>
      </c>
      <c r="M155" s="9" t="s">
        <v>1685</v>
      </c>
      <c r="N155" s="9" t="s">
        <v>1686</v>
      </c>
    </row>
    <row r="156" customFormat="false" ht="41.25" hidden="false" customHeight="true" outlineLevel="0" collapsed="false">
      <c r="A156" s="9" t="s">
        <v>2385</v>
      </c>
      <c r="B156" s="9" t="s">
        <v>819</v>
      </c>
      <c r="C156" s="9" t="n">
        <v>1</v>
      </c>
      <c r="D156" s="9" t="s">
        <v>1631</v>
      </c>
      <c r="E156" s="9" t="s">
        <v>2386</v>
      </c>
      <c r="F156" s="9" t="s">
        <v>2387</v>
      </c>
      <c r="G156" s="9" t="s">
        <v>1634</v>
      </c>
      <c r="H156" s="9" t="s">
        <v>2388</v>
      </c>
      <c r="I156" s="9" t="s">
        <v>2389</v>
      </c>
      <c r="J156" s="9" t="s">
        <v>2390</v>
      </c>
      <c r="K156" s="9" t="s">
        <v>1638</v>
      </c>
      <c r="L156" s="9" t="s">
        <v>1639</v>
      </c>
      <c r="M156" s="9" t="s">
        <v>562</v>
      </c>
      <c r="N156" s="9" t="s">
        <v>1640</v>
      </c>
    </row>
    <row r="157" customFormat="false" ht="41.25" hidden="false" customHeight="true" outlineLevel="0" collapsed="false">
      <c r="A157" s="9" t="s">
        <v>2391</v>
      </c>
      <c r="B157" s="9" t="s">
        <v>819</v>
      </c>
      <c r="C157" s="9" t="n">
        <v>2</v>
      </c>
      <c r="D157" s="9" t="s">
        <v>1631</v>
      </c>
      <c r="E157" s="9" t="s">
        <v>2392</v>
      </c>
      <c r="F157" s="9" t="s">
        <v>2393</v>
      </c>
      <c r="G157" s="9" t="s">
        <v>1634</v>
      </c>
      <c r="H157" s="9" t="s">
        <v>2394</v>
      </c>
      <c r="I157" s="9" t="s">
        <v>2395</v>
      </c>
      <c r="J157" s="9" t="s">
        <v>2390</v>
      </c>
      <c r="K157" s="9" t="s">
        <v>1638</v>
      </c>
      <c r="L157" s="9" t="s">
        <v>1639</v>
      </c>
      <c r="M157" s="9" t="s">
        <v>562</v>
      </c>
      <c r="N157" s="9" t="s">
        <v>1640</v>
      </c>
    </row>
    <row r="158" customFormat="false" ht="41.25" hidden="false" customHeight="true" outlineLevel="0" collapsed="false">
      <c r="A158" s="9" t="s">
        <v>2396</v>
      </c>
      <c r="B158" s="9" t="s">
        <v>819</v>
      </c>
      <c r="C158" s="9" t="n">
        <v>3</v>
      </c>
      <c r="D158" s="9" t="s">
        <v>1631</v>
      </c>
      <c r="E158" s="9" t="s">
        <v>2397</v>
      </c>
      <c r="F158" s="9" t="s">
        <v>2398</v>
      </c>
      <c r="G158" s="9" t="s">
        <v>1634</v>
      </c>
      <c r="H158" s="9" t="s">
        <v>2399</v>
      </c>
      <c r="I158" s="9" t="s">
        <v>2400</v>
      </c>
      <c r="J158" s="9" t="s">
        <v>2390</v>
      </c>
      <c r="K158" s="9" t="s">
        <v>1638</v>
      </c>
      <c r="L158" s="9" t="s">
        <v>1639</v>
      </c>
      <c r="M158" s="9" t="s">
        <v>562</v>
      </c>
      <c r="N158" s="9" t="s">
        <v>1640</v>
      </c>
    </row>
    <row r="159" customFormat="false" ht="54.75" hidden="false" customHeight="true" outlineLevel="0" collapsed="false">
      <c r="A159" s="9" t="s">
        <v>2401</v>
      </c>
      <c r="B159" s="9" t="s">
        <v>819</v>
      </c>
      <c r="C159" s="9" t="n">
        <v>4</v>
      </c>
      <c r="D159" s="9" t="s">
        <v>1652</v>
      </c>
      <c r="E159" s="9" t="s">
        <v>2278</v>
      </c>
      <c r="F159" s="9" t="s">
        <v>2279</v>
      </c>
      <c r="G159" s="9" t="s">
        <v>1706</v>
      </c>
      <c r="H159" s="9" t="s">
        <v>1667</v>
      </c>
      <c r="I159" s="9" t="s">
        <v>1886</v>
      </c>
      <c r="J159" s="9" t="s">
        <v>2402</v>
      </c>
      <c r="K159" s="9" t="s">
        <v>1659</v>
      </c>
      <c r="L159" s="9" t="s">
        <v>1660</v>
      </c>
      <c r="M159" s="9" t="s">
        <v>1661</v>
      </c>
      <c r="N159" s="9" t="s">
        <v>1662</v>
      </c>
    </row>
    <row r="160" customFormat="false" ht="54.75" hidden="false" customHeight="true" outlineLevel="0" collapsed="false">
      <c r="A160" s="9" t="s">
        <v>2403</v>
      </c>
      <c r="B160" s="9" t="s">
        <v>819</v>
      </c>
      <c r="C160" s="9" t="n">
        <v>5</v>
      </c>
      <c r="D160" s="9" t="s">
        <v>1652</v>
      </c>
      <c r="E160" s="9" t="s">
        <v>2404</v>
      </c>
      <c r="F160" s="9" t="s">
        <v>2405</v>
      </c>
      <c r="G160" s="9" t="s">
        <v>2066</v>
      </c>
      <c r="H160" s="9" t="s">
        <v>1656</v>
      </c>
      <c r="I160" s="9" t="s">
        <v>2406</v>
      </c>
      <c r="J160" s="9" t="s">
        <v>2402</v>
      </c>
      <c r="K160" s="9" t="s">
        <v>1659</v>
      </c>
      <c r="L160" s="9" t="s">
        <v>1660</v>
      </c>
      <c r="M160" s="9" t="s">
        <v>1661</v>
      </c>
      <c r="N160" s="9" t="s">
        <v>1662</v>
      </c>
    </row>
    <row r="161" customFormat="false" ht="54.75" hidden="false" customHeight="true" outlineLevel="0" collapsed="false">
      <c r="A161" s="9" t="s">
        <v>2407</v>
      </c>
      <c r="B161" s="9" t="s">
        <v>819</v>
      </c>
      <c r="C161" s="9" t="n">
        <v>6</v>
      </c>
      <c r="D161" s="9" t="s">
        <v>1652</v>
      </c>
      <c r="E161" s="9" t="s">
        <v>2408</v>
      </c>
      <c r="F161" s="9" t="s">
        <v>2409</v>
      </c>
      <c r="G161" s="9" t="s">
        <v>2129</v>
      </c>
      <c r="H161" s="9" t="s">
        <v>1673</v>
      </c>
      <c r="I161" s="9" t="s">
        <v>2101</v>
      </c>
      <c r="J161" s="9" t="s">
        <v>2402</v>
      </c>
      <c r="K161" s="9" t="s">
        <v>1659</v>
      </c>
      <c r="L161" s="9" t="s">
        <v>1660</v>
      </c>
      <c r="M161" s="9" t="s">
        <v>1661</v>
      </c>
      <c r="N161" s="9" t="s">
        <v>1662</v>
      </c>
    </row>
    <row r="162" customFormat="false" ht="41.25" hidden="false" customHeight="true" outlineLevel="0" collapsed="false">
      <c r="A162" s="9" t="s">
        <v>2410</v>
      </c>
      <c r="B162" s="9" t="s">
        <v>819</v>
      </c>
      <c r="C162" s="9" t="n">
        <v>7</v>
      </c>
      <c r="D162" s="9" t="s">
        <v>1676</v>
      </c>
      <c r="E162" s="9" t="s">
        <v>1677</v>
      </c>
      <c r="F162" s="9" t="s">
        <v>2411</v>
      </c>
      <c r="G162" s="9" t="s">
        <v>1679</v>
      </c>
      <c r="H162" s="9" t="s">
        <v>1680</v>
      </c>
      <c r="I162" s="9" t="s">
        <v>2412</v>
      </c>
      <c r="J162" s="9" t="s">
        <v>2413</v>
      </c>
      <c r="K162" s="9" t="s">
        <v>1683</v>
      </c>
      <c r="L162" s="9" t="s">
        <v>1684</v>
      </c>
      <c r="M162" s="9" t="s">
        <v>1685</v>
      </c>
      <c r="N162" s="9" t="s">
        <v>1686</v>
      </c>
    </row>
    <row r="163" customFormat="false" ht="41.25" hidden="false" customHeight="true" outlineLevel="0" collapsed="false">
      <c r="A163" s="9" t="s">
        <v>2414</v>
      </c>
      <c r="B163" s="9" t="s">
        <v>841</v>
      </c>
      <c r="C163" s="9" t="n">
        <v>1</v>
      </c>
      <c r="D163" s="9" t="s">
        <v>1631</v>
      </c>
      <c r="E163" s="9" t="s">
        <v>2415</v>
      </c>
      <c r="F163" s="9" t="s">
        <v>2416</v>
      </c>
      <c r="G163" s="9" t="s">
        <v>1634</v>
      </c>
      <c r="H163" s="9" t="s">
        <v>2417</v>
      </c>
      <c r="I163" s="9" t="s">
        <v>2418</v>
      </c>
      <c r="J163" s="9" t="s">
        <v>2419</v>
      </c>
      <c r="K163" s="9" t="s">
        <v>1638</v>
      </c>
      <c r="L163" s="9" t="s">
        <v>1639</v>
      </c>
      <c r="M163" s="9" t="s">
        <v>562</v>
      </c>
      <c r="N163" s="9" t="s">
        <v>1640</v>
      </c>
    </row>
    <row r="164" customFormat="false" ht="41.25" hidden="false" customHeight="true" outlineLevel="0" collapsed="false">
      <c r="A164" s="9" t="s">
        <v>2420</v>
      </c>
      <c r="B164" s="9" t="s">
        <v>841</v>
      </c>
      <c r="C164" s="9" t="n">
        <v>2</v>
      </c>
      <c r="D164" s="9" t="s">
        <v>1631</v>
      </c>
      <c r="E164" s="9" t="s">
        <v>2421</v>
      </c>
      <c r="F164" s="9" t="s">
        <v>2422</v>
      </c>
      <c r="G164" s="9" t="s">
        <v>1634</v>
      </c>
      <c r="H164" s="9" t="s">
        <v>2423</v>
      </c>
      <c r="I164" s="9" t="s">
        <v>2424</v>
      </c>
      <c r="J164" s="9" t="s">
        <v>2419</v>
      </c>
      <c r="K164" s="9" t="s">
        <v>1638</v>
      </c>
      <c r="L164" s="9" t="s">
        <v>1639</v>
      </c>
      <c r="M164" s="9" t="s">
        <v>562</v>
      </c>
      <c r="N164" s="9" t="s">
        <v>1640</v>
      </c>
    </row>
    <row r="165" customFormat="false" ht="41.25" hidden="false" customHeight="true" outlineLevel="0" collapsed="false">
      <c r="A165" s="9" t="s">
        <v>2425</v>
      </c>
      <c r="B165" s="9" t="s">
        <v>841</v>
      </c>
      <c r="C165" s="9" t="n">
        <v>3</v>
      </c>
      <c r="D165" s="9" t="s">
        <v>1631</v>
      </c>
      <c r="E165" s="9" t="s">
        <v>2426</v>
      </c>
      <c r="F165" s="9" t="s">
        <v>2427</v>
      </c>
      <c r="G165" s="9" t="s">
        <v>1634</v>
      </c>
      <c r="H165" s="9" t="s">
        <v>2428</v>
      </c>
      <c r="I165" s="9" t="s">
        <v>2429</v>
      </c>
      <c r="J165" s="9" t="s">
        <v>2419</v>
      </c>
      <c r="K165" s="9" t="s">
        <v>1638</v>
      </c>
      <c r="L165" s="9" t="s">
        <v>1639</v>
      </c>
      <c r="M165" s="9" t="s">
        <v>562</v>
      </c>
      <c r="N165" s="9" t="s">
        <v>1640</v>
      </c>
    </row>
    <row r="166" customFormat="false" ht="54.75" hidden="false" customHeight="true" outlineLevel="0" collapsed="false">
      <c r="A166" s="9" t="s">
        <v>2430</v>
      </c>
      <c r="B166" s="9" t="s">
        <v>841</v>
      </c>
      <c r="C166" s="9" t="n">
        <v>4</v>
      </c>
      <c r="D166" s="9" t="s">
        <v>1652</v>
      </c>
      <c r="E166" s="9" t="s">
        <v>2431</v>
      </c>
      <c r="F166" s="9" t="s">
        <v>2432</v>
      </c>
      <c r="G166" s="9" t="s">
        <v>1672</v>
      </c>
      <c r="H166" s="9" t="s">
        <v>1673</v>
      </c>
      <c r="I166" s="9" t="s">
        <v>2433</v>
      </c>
      <c r="J166" s="9" t="s">
        <v>2434</v>
      </c>
      <c r="K166" s="9" t="s">
        <v>1659</v>
      </c>
      <c r="L166" s="9" t="s">
        <v>1660</v>
      </c>
      <c r="M166" s="9" t="s">
        <v>1661</v>
      </c>
      <c r="N166" s="9" t="s">
        <v>1662</v>
      </c>
    </row>
    <row r="167" customFormat="false" ht="54.75" hidden="false" customHeight="true" outlineLevel="0" collapsed="false">
      <c r="A167" s="9" t="s">
        <v>2435</v>
      </c>
      <c r="B167" s="9" t="s">
        <v>841</v>
      </c>
      <c r="C167" s="9" t="n">
        <v>5</v>
      </c>
      <c r="D167" s="9" t="s">
        <v>1652</v>
      </c>
      <c r="E167" s="9" t="s">
        <v>2436</v>
      </c>
      <c r="F167" s="9" t="s">
        <v>2437</v>
      </c>
      <c r="G167" s="9" t="s">
        <v>2347</v>
      </c>
      <c r="H167" s="9" t="s">
        <v>2061</v>
      </c>
      <c r="I167" s="9" t="s">
        <v>2438</v>
      </c>
      <c r="J167" s="9" t="s">
        <v>2434</v>
      </c>
      <c r="K167" s="9" t="s">
        <v>1659</v>
      </c>
      <c r="L167" s="9" t="s">
        <v>1660</v>
      </c>
      <c r="M167" s="9" t="s">
        <v>1661</v>
      </c>
      <c r="N167" s="9" t="s">
        <v>1662</v>
      </c>
    </row>
    <row r="168" customFormat="false" ht="54.75" hidden="false" customHeight="true" outlineLevel="0" collapsed="false">
      <c r="A168" s="9" t="s">
        <v>2439</v>
      </c>
      <c r="B168" s="9" t="s">
        <v>841</v>
      </c>
      <c r="C168" s="9" t="n">
        <v>6</v>
      </c>
      <c r="D168" s="9" t="s">
        <v>1652</v>
      </c>
      <c r="E168" s="9" t="s">
        <v>2440</v>
      </c>
      <c r="F168" s="9" t="s">
        <v>2441</v>
      </c>
      <c r="G168" s="9" t="s">
        <v>1931</v>
      </c>
      <c r="H168" s="9" t="s">
        <v>1754</v>
      </c>
      <c r="I168" s="9" t="s">
        <v>2442</v>
      </c>
      <c r="J168" s="9" t="s">
        <v>2434</v>
      </c>
      <c r="K168" s="9" t="s">
        <v>1659</v>
      </c>
      <c r="L168" s="9" t="s">
        <v>1660</v>
      </c>
      <c r="M168" s="9" t="s">
        <v>1661</v>
      </c>
      <c r="N168" s="9" t="s">
        <v>1662</v>
      </c>
    </row>
    <row r="169" customFormat="false" ht="41.25" hidden="false" customHeight="true" outlineLevel="0" collapsed="false">
      <c r="A169" s="9" t="s">
        <v>2443</v>
      </c>
      <c r="B169" s="9" t="s">
        <v>841</v>
      </c>
      <c r="C169" s="9" t="n">
        <v>7</v>
      </c>
      <c r="D169" s="9" t="s">
        <v>1676</v>
      </c>
      <c r="E169" s="9" t="s">
        <v>1677</v>
      </c>
      <c r="F169" s="9" t="s">
        <v>2444</v>
      </c>
      <c r="G169" s="9" t="s">
        <v>1679</v>
      </c>
      <c r="H169" s="9" t="s">
        <v>1680</v>
      </c>
      <c r="I169" s="9" t="s">
        <v>2445</v>
      </c>
      <c r="J169" s="9" t="s">
        <v>2446</v>
      </c>
      <c r="K169" s="9" t="s">
        <v>1683</v>
      </c>
      <c r="L169" s="9" t="s">
        <v>1684</v>
      </c>
      <c r="M169" s="9" t="s">
        <v>1685</v>
      </c>
      <c r="N169" s="9" t="s">
        <v>1686</v>
      </c>
    </row>
    <row r="170" customFormat="false" ht="41.25" hidden="false" customHeight="true" outlineLevel="0" collapsed="false">
      <c r="A170" s="9" t="s">
        <v>2447</v>
      </c>
      <c r="B170" s="9" t="s">
        <v>865</v>
      </c>
      <c r="C170" s="9" t="n">
        <v>1</v>
      </c>
      <c r="D170" s="9" t="s">
        <v>1631</v>
      </c>
      <c r="E170" s="9" t="s">
        <v>2448</v>
      </c>
      <c r="F170" s="9" t="s">
        <v>2449</v>
      </c>
      <c r="G170" s="9" t="s">
        <v>1634</v>
      </c>
      <c r="H170" s="9" t="s">
        <v>2450</v>
      </c>
      <c r="I170" s="9" t="s">
        <v>2451</v>
      </c>
      <c r="J170" s="9" t="s">
        <v>2452</v>
      </c>
      <c r="K170" s="9" t="s">
        <v>1638</v>
      </c>
      <c r="L170" s="9" t="s">
        <v>1639</v>
      </c>
      <c r="M170" s="9" t="s">
        <v>562</v>
      </c>
      <c r="N170" s="9" t="s">
        <v>1640</v>
      </c>
    </row>
    <row r="171" customFormat="false" ht="41.25" hidden="false" customHeight="true" outlineLevel="0" collapsed="false">
      <c r="A171" s="9" t="s">
        <v>2453</v>
      </c>
      <c r="B171" s="9" t="s">
        <v>865</v>
      </c>
      <c r="C171" s="9" t="n">
        <v>2</v>
      </c>
      <c r="D171" s="9" t="s">
        <v>1631</v>
      </c>
      <c r="E171" s="9" t="s">
        <v>2454</v>
      </c>
      <c r="F171" s="9" t="s">
        <v>2455</v>
      </c>
      <c r="G171" s="9" t="s">
        <v>1634</v>
      </c>
      <c r="H171" s="9" t="s">
        <v>2456</v>
      </c>
      <c r="I171" s="9" t="s">
        <v>2457</v>
      </c>
      <c r="J171" s="9" t="s">
        <v>2452</v>
      </c>
      <c r="K171" s="9" t="s">
        <v>1638</v>
      </c>
      <c r="L171" s="9" t="s">
        <v>1639</v>
      </c>
      <c r="M171" s="9" t="s">
        <v>562</v>
      </c>
      <c r="N171" s="9" t="s">
        <v>1640</v>
      </c>
    </row>
    <row r="172" customFormat="false" ht="41.25" hidden="false" customHeight="true" outlineLevel="0" collapsed="false">
      <c r="A172" s="9" t="s">
        <v>2458</v>
      </c>
      <c r="B172" s="9" t="s">
        <v>865</v>
      </c>
      <c r="C172" s="9" t="n">
        <v>3</v>
      </c>
      <c r="D172" s="9" t="s">
        <v>1631</v>
      </c>
      <c r="E172" s="9" t="s">
        <v>2459</v>
      </c>
      <c r="F172" s="9" t="s">
        <v>2460</v>
      </c>
      <c r="G172" s="9" t="s">
        <v>1634</v>
      </c>
      <c r="H172" s="9" t="s">
        <v>2461</v>
      </c>
      <c r="I172" s="9" t="s">
        <v>2462</v>
      </c>
      <c r="J172" s="9" t="s">
        <v>2452</v>
      </c>
      <c r="K172" s="9" t="s">
        <v>1638</v>
      </c>
      <c r="L172" s="9" t="s">
        <v>1639</v>
      </c>
      <c r="M172" s="9" t="s">
        <v>562</v>
      </c>
      <c r="N172" s="9" t="s">
        <v>1640</v>
      </c>
    </row>
    <row r="173" customFormat="false" ht="54.75" hidden="false" customHeight="true" outlineLevel="0" collapsed="false">
      <c r="A173" s="9" t="s">
        <v>2463</v>
      </c>
      <c r="B173" s="9" t="s">
        <v>865</v>
      </c>
      <c r="C173" s="9" t="n">
        <v>4</v>
      </c>
      <c r="D173" s="9" t="s">
        <v>1652</v>
      </c>
      <c r="E173" s="9" t="s">
        <v>2464</v>
      </c>
      <c r="F173" s="9" t="s">
        <v>2465</v>
      </c>
      <c r="G173" s="9" t="s">
        <v>2338</v>
      </c>
      <c r="H173" s="9" t="s">
        <v>2061</v>
      </c>
      <c r="I173" s="9" t="s">
        <v>2466</v>
      </c>
      <c r="J173" s="9" t="s">
        <v>2467</v>
      </c>
      <c r="K173" s="9" t="s">
        <v>1659</v>
      </c>
      <c r="L173" s="9" t="s">
        <v>1660</v>
      </c>
      <c r="M173" s="9" t="s">
        <v>1661</v>
      </c>
      <c r="N173" s="9" t="s">
        <v>1662</v>
      </c>
    </row>
    <row r="174" customFormat="false" ht="54.75" hidden="false" customHeight="true" outlineLevel="0" collapsed="false">
      <c r="A174" s="9" t="s">
        <v>2468</v>
      </c>
      <c r="B174" s="9" t="s">
        <v>865</v>
      </c>
      <c r="C174" s="9" t="n">
        <v>5</v>
      </c>
      <c r="D174" s="9" t="s">
        <v>1652</v>
      </c>
      <c r="E174" s="9" t="s">
        <v>2310</v>
      </c>
      <c r="F174" s="9" t="s">
        <v>2311</v>
      </c>
      <c r="G174" s="9" t="s">
        <v>2129</v>
      </c>
      <c r="H174" s="9" t="s">
        <v>1673</v>
      </c>
      <c r="I174" s="9" t="s">
        <v>2469</v>
      </c>
      <c r="J174" s="9" t="s">
        <v>2467</v>
      </c>
      <c r="K174" s="9" t="s">
        <v>1659</v>
      </c>
      <c r="L174" s="9" t="s">
        <v>1660</v>
      </c>
      <c r="M174" s="9" t="s">
        <v>1661</v>
      </c>
      <c r="N174" s="9" t="s">
        <v>1662</v>
      </c>
    </row>
    <row r="175" customFormat="false" ht="54.75" hidden="false" customHeight="true" outlineLevel="0" collapsed="false">
      <c r="A175" s="9" t="s">
        <v>2470</v>
      </c>
      <c r="B175" s="9" t="s">
        <v>865</v>
      </c>
      <c r="C175" s="9" t="n">
        <v>6</v>
      </c>
      <c r="D175" s="9" t="s">
        <v>1652</v>
      </c>
      <c r="E175" s="9" t="s">
        <v>2471</v>
      </c>
      <c r="F175" s="9" t="s">
        <v>2472</v>
      </c>
      <c r="G175" s="9" t="s">
        <v>1931</v>
      </c>
      <c r="H175" s="9" t="s">
        <v>1754</v>
      </c>
      <c r="I175" s="9" t="s">
        <v>2473</v>
      </c>
      <c r="J175" s="9" t="s">
        <v>2467</v>
      </c>
      <c r="K175" s="9" t="s">
        <v>1659</v>
      </c>
      <c r="L175" s="9" t="s">
        <v>1660</v>
      </c>
      <c r="M175" s="9" t="s">
        <v>1661</v>
      </c>
      <c r="N175" s="9" t="s">
        <v>1662</v>
      </c>
    </row>
    <row r="176" customFormat="false" ht="41.25" hidden="false" customHeight="true" outlineLevel="0" collapsed="false">
      <c r="A176" s="9" t="s">
        <v>2474</v>
      </c>
      <c r="B176" s="9" t="s">
        <v>865</v>
      </c>
      <c r="C176" s="9" t="n">
        <v>7</v>
      </c>
      <c r="D176" s="9" t="s">
        <v>1676</v>
      </c>
      <c r="E176" s="9" t="s">
        <v>1677</v>
      </c>
      <c r="F176" s="9" t="s">
        <v>2475</v>
      </c>
      <c r="G176" s="9" t="s">
        <v>1679</v>
      </c>
      <c r="H176" s="9" t="s">
        <v>1680</v>
      </c>
      <c r="I176" s="9" t="s">
        <v>2476</v>
      </c>
      <c r="J176" s="9" t="s">
        <v>2477</v>
      </c>
      <c r="K176" s="9" t="s">
        <v>1683</v>
      </c>
      <c r="L176" s="9" t="s">
        <v>1684</v>
      </c>
      <c r="M176" s="9" t="s">
        <v>1685</v>
      </c>
      <c r="N176" s="9" t="s">
        <v>1686</v>
      </c>
    </row>
    <row r="177" customFormat="false" ht="41.25" hidden="false" customHeight="true" outlineLevel="0" collapsed="false">
      <c r="A177" s="9" t="s">
        <v>2478</v>
      </c>
      <c r="B177" s="9" t="s">
        <v>895</v>
      </c>
      <c r="C177" s="9" t="n">
        <v>1</v>
      </c>
      <c r="D177" s="9" t="s">
        <v>1631</v>
      </c>
      <c r="E177" s="9" t="s">
        <v>2479</v>
      </c>
      <c r="F177" s="9" t="s">
        <v>2480</v>
      </c>
      <c r="G177" s="9" t="s">
        <v>1634</v>
      </c>
      <c r="H177" s="9" t="s">
        <v>2236</v>
      </c>
      <c r="I177" s="9" t="s">
        <v>2237</v>
      </c>
      <c r="J177" s="9" t="s">
        <v>2481</v>
      </c>
      <c r="K177" s="9" t="s">
        <v>1638</v>
      </c>
      <c r="L177" s="9" t="s">
        <v>1639</v>
      </c>
      <c r="M177" s="9" t="s">
        <v>562</v>
      </c>
      <c r="N177" s="9" t="s">
        <v>1640</v>
      </c>
    </row>
    <row r="178" customFormat="false" ht="41.25" hidden="false" customHeight="true" outlineLevel="0" collapsed="false">
      <c r="A178" s="9" t="s">
        <v>2482</v>
      </c>
      <c r="B178" s="9" t="s">
        <v>895</v>
      </c>
      <c r="C178" s="9" t="n">
        <v>2</v>
      </c>
      <c r="D178" s="9" t="s">
        <v>1631</v>
      </c>
      <c r="E178" s="9" t="s">
        <v>2483</v>
      </c>
      <c r="F178" s="9" t="s">
        <v>2484</v>
      </c>
      <c r="G178" s="9" t="s">
        <v>1634</v>
      </c>
      <c r="H178" s="9" t="s">
        <v>2485</v>
      </c>
      <c r="I178" s="9" t="s">
        <v>2486</v>
      </c>
      <c r="J178" s="9" t="s">
        <v>2481</v>
      </c>
      <c r="K178" s="9" t="s">
        <v>1638</v>
      </c>
      <c r="L178" s="9" t="s">
        <v>1639</v>
      </c>
      <c r="M178" s="9" t="s">
        <v>562</v>
      </c>
      <c r="N178" s="9" t="s">
        <v>1640</v>
      </c>
    </row>
    <row r="179" customFormat="false" ht="41.25" hidden="false" customHeight="true" outlineLevel="0" collapsed="false">
      <c r="A179" s="9" t="s">
        <v>2487</v>
      </c>
      <c r="B179" s="9" t="s">
        <v>895</v>
      </c>
      <c r="C179" s="9" t="n">
        <v>3</v>
      </c>
      <c r="D179" s="9" t="s">
        <v>1631</v>
      </c>
      <c r="E179" s="9" t="s">
        <v>2488</v>
      </c>
      <c r="F179" s="9" t="s">
        <v>2489</v>
      </c>
      <c r="G179" s="9" t="s">
        <v>1634</v>
      </c>
      <c r="H179" s="9" t="s">
        <v>2490</v>
      </c>
      <c r="I179" s="9" t="s">
        <v>2491</v>
      </c>
      <c r="J179" s="9" t="s">
        <v>2481</v>
      </c>
      <c r="K179" s="9" t="s">
        <v>1638</v>
      </c>
      <c r="L179" s="9" t="s">
        <v>1639</v>
      </c>
      <c r="M179" s="9" t="s">
        <v>562</v>
      </c>
      <c r="N179" s="9" t="s">
        <v>1640</v>
      </c>
    </row>
    <row r="180" customFormat="false" ht="54.75" hidden="false" customHeight="true" outlineLevel="0" collapsed="false">
      <c r="A180" s="9" t="s">
        <v>2492</v>
      </c>
      <c r="B180" s="9" t="s">
        <v>895</v>
      </c>
      <c r="C180" s="9" t="n">
        <v>4</v>
      </c>
      <c r="D180" s="9" t="s">
        <v>1652</v>
      </c>
      <c r="E180" s="9" t="s">
        <v>2493</v>
      </c>
      <c r="F180" s="9" t="s">
        <v>2494</v>
      </c>
      <c r="G180" s="9" t="s">
        <v>2495</v>
      </c>
      <c r="H180" s="9" t="s">
        <v>1754</v>
      </c>
      <c r="I180" s="9" t="s">
        <v>2496</v>
      </c>
      <c r="J180" s="9" t="s">
        <v>2497</v>
      </c>
      <c r="K180" s="9" t="s">
        <v>1659</v>
      </c>
      <c r="L180" s="9" t="s">
        <v>1660</v>
      </c>
      <c r="M180" s="9" t="s">
        <v>1661</v>
      </c>
      <c r="N180" s="9" t="s">
        <v>1662</v>
      </c>
    </row>
    <row r="181" customFormat="false" ht="54.75" hidden="false" customHeight="true" outlineLevel="0" collapsed="false">
      <c r="A181" s="9" t="s">
        <v>2498</v>
      </c>
      <c r="B181" s="9" t="s">
        <v>895</v>
      </c>
      <c r="C181" s="9" t="n">
        <v>5</v>
      </c>
      <c r="D181" s="9" t="s">
        <v>1652</v>
      </c>
      <c r="E181" s="9" t="s">
        <v>2499</v>
      </c>
      <c r="F181" s="9" t="s">
        <v>2500</v>
      </c>
      <c r="G181" s="9" t="s">
        <v>2163</v>
      </c>
      <c r="H181" s="9" t="s">
        <v>1667</v>
      </c>
      <c r="I181" s="9" t="s">
        <v>2501</v>
      </c>
      <c r="J181" s="9" t="s">
        <v>2497</v>
      </c>
      <c r="K181" s="9" t="s">
        <v>1659</v>
      </c>
      <c r="L181" s="9" t="s">
        <v>1660</v>
      </c>
      <c r="M181" s="9" t="s">
        <v>1661</v>
      </c>
      <c r="N181" s="9" t="s">
        <v>1662</v>
      </c>
    </row>
    <row r="182" customFormat="false" ht="54.75" hidden="false" customHeight="true" outlineLevel="0" collapsed="false">
      <c r="A182" s="9" t="s">
        <v>2502</v>
      </c>
      <c r="B182" s="9" t="s">
        <v>895</v>
      </c>
      <c r="C182" s="9" t="n">
        <v>6</v>
      </c>
      <c r="D182" s="9" t="s">
        <v>1652</v>
      </c>
      <c r="E182" s="9" t="s">
        <v>2503</v>
      </c>
      <c r="F182" s="9" t="s">
        <v>2504</v>
      </c>
      <c r="G182" s="9" t="s">
        <v>1931</v>
      </c>
      <c r="H182" s="9" t="s">
        <v>1754</v>
      </c>
      <c r="I182" s="9" t="s">
        <v>2505</v>
      </c>
      <c r="J182" s="9" t="s">
        <v>2497</v>
      </c>
      <c r="K182" s="9" t="s">
        <v>1659</v>
      </c>
      <c r="L182" s="9" t="s">
        <v>1660</v>
      </c>
      <c r="M182" s="9" t="s">
        <v>1661</v>
      </c>
      <c r="N182" s="9" t="s">
        <v>1662</v>
      </c>
    </row>
    <row r="183" customFormat="false" ht="41.25" hidden="false" customHeight="true" outlineLevel="0" collapsed="false">
      <c r="A183" s="9" t="s">
        <v>2506</v>
      </c>
      <c r="B183" s="9" t="s">
        <v>895</v>
      </c>
      <c r="C183" s="9" t="n">
        <v>7</v>
      </c>
      <c r="D183" s="9" t="s">
        <v>1676</v>
      </c>
      <c r="E183" s="9" t="s">
        <v>1677</v>
      </c>
      <c r="F183" s="9" t="s">
        <v>2507</v>
      </c>
      <c r="G183" s="9" t="s">
        <v>1679</v>
      </c>
      <c r="H183" s="9" t="s">
        <v>1680</v>
      </c>
      <c r="I183" s="9" t="s">
        <v>2508</v>
      </c>
      <c r="J183" s="9" t="s">
        <v>2509</v>
      </c>
      <c r="K183" s="9" t="s">
        <v>1683</v>
      </c>
      <c r="L183" s="9" t="s">
        <v>1684</v>
      </c>
      <c r="M183" s="9" t="s">
        <v>1685</v>
      </c>
      <c r="N183" s="9" t="s">
        <v>1686</v>
      </c>
    </row>
    <row r="184" customFormat="false" ht="41.25" hidden="false" customHeight="true" outlineLevel="0" collapsed="false">
      <c r="A184" s="9" t="s">
        <v>2510</v>
      </c>
      <c r="B184" s="9" t="s">
        <v>921</v>
      </c>
      <c r="C184" s="9" t="n">
        <v>1</v>
      </c>
      <c r="D184" s="9" t="s">
        <v>1631</v>
      </c>
      <c r="E184" s="9" t="s">
        <v>2511</v>
      </c>
      <c r="F184" s="9" t="s">
        <v>2512</v>
      </c>
      <c r="G184" s="9" t="s">
        <v>1634</v>
      </c>
      <c r="H184" s="9" t="s">
        <v>2211</v>
      </c>
      <c r="I184" s="9" t="s">
        <v>2212</v>
      </c>
      <c r="J184" s="9" t="s">
        <v>2513</v>
      </c>
      <c r="K184" s="9" t="s">
        <v>1638</v>
      </c>
      <c r="L184" s="9" t="s">
        <v>1639</v>
      </c>
      <c r="M184" s="9" t="s">
        <v>562</v>
      </c>
      <c r="N184" s="9" t="s">
        <v>1640</v>
      </c>
    </row>
    <row r="185" customFormat="false" ht="41.25" hidden="false" customHeight="true" outlineLevel="0" collapsed="false">
      <c r="A185" s="9" t="s">
        <v>2514</v>
      </c>
      <c r="B185" s="9" t="s">
        <v>921</v>
      </c>
      <c r="C185" s="9" t="n">
        <v>2</v>
      </c>
      <c r="D185" s="9" t="s">
        <v>1631</v>
      </c>
      <c r="E185" s="9" t="s">
        <v>2515</v>
      </c>
      <c r="F185" s="9" t="s">
        <v>2516</v>
      </c>
      <c r="G185" s="9" t="s">
        <v>1634</v>
      </c>
      <c r="H185" s="9" t="s">
        <v>2517</v>
      </c>
      <c r="I185" s="9" t="s">
        <v>2518</v>
      </c>
      <c r="J185" s="9" t="s">
        <v>2513</v>
      </c>
      <c r="K185" s="9" t="s">
        <v>1638</v>
      </c>
      <c r="L185" s="9" t="s">
        <v>1639</v>
      </c>
      <c r="M185" s="9" t="s">
        <v>562</v>
      </c>
      <c r="N185" s="9" t="s">
        <v>1640</v>
      </c>
    </row>
    <row r="186" customFormat="false" ht="41.25" hidden="false" customHeight="true" outlineLevel="0" collapsed="false">
      <c r="A186" s="9" t="s">
        <v>2519</v>
      </c>
      <c r="B186" s="9" t="s">
        <v>921</v>
      </c>
      <c r="C186" s="9" t="n">
        <v>3</v>
      </c>
      <c r="D186" s="9" t="s">
        <v>1631</v>
      </c>
      <c r="E186" s="9" t="s">
        <v>2520</v>
      </c>
      <c r="F186" s="9" t="s">
        <v>2521</v>
      </c>
      <c r="G186" s="9" t="s">
        <v>1634</v>
      </c>
      <c r="H186" s="9" t="s">
        <v>2522</v>
      </c>
      <c r="I186" s="9" t="s">
        <v>2523</v>
      </c>
      <c r="J186" s="9" t="s">
        <v>2513</v>
      </c>
      <c r="K186" s="9" t="s">
        <v>1638</v>
      </c>
      <c r="L186" s="9" t="s">
        <v>1639</v>
      </c>
      <c r="M186" s="9" t="s">
        <v>562</v>
      </c>
      <c r="N186" s="9" t="s">
        <v>1640</v>
      </c>
    </row>
    <row r="187" customFormat="false" ht="54.75" hidden="false" customHeight="true" outlineLevel="0" collapsed="false">
      <c r="A187" s="9" t="s">
        <v>2524</v>
      </c>
      <c r="B187" s="9" t="s">
        <v>921</v>
      </c>
      <c r="C187" s="9" t="n">
        <v>4</v>
      </c>
      <c r="D187" s="9" t="s">
        <v>1652</v>
      </c>
      <c r="E187" s="9" t="s">
        <v>2525</v>
      </c>
      <c r="F187" s="9" t="s">
        <v>2526</v>
      </c>
      <c r="G187" s="9" t="s">
        <v>2030</v>
      </c>
      <c r="H187" s="9" t="s">
        <v>2031</v>
      </c>
      <c r="I187" s="9" t="s">
        <v>2527</v>
      </c>
      <c r="J187" s="9" t="s">
        <v>2528</v>
      </c>
      <c r="K187" s="9" t="s">
        <v>1659</v>
      </c>
      <c r="L187" s="9" t="s">
        <v>1660</v>
      </c>
      <c r="M187" s="9" t="s">
        <v>1661</v>
      </c>
      <c r="N187" s="9" t="s">
        <v>1662</v>
      </c>
    </row>
    <row r="188" customFormat="false" ht="54.75" hidden="false" customHeight="true" outlineLevel="0" collapsed="false">
      <c r="A188" s="9" t="s">
        <v>2529</v>
      </c>
      <c r="B188" s="9" t="s">
        <v>921</v>
      </c>
      <c r="C188" s="9" t="n">
        <v>5</v>
      </c>
      <c r="D188" s="9" t="s">
        <v>1652</v>
      </c>
      <c r="E188" s="9" t="s">
        <v>2530</v>
      </c>
      <c r="F188" s="9" t="s">
        <v>2531</v>
      </c>
      <c r="G188" s="9" t="s">
        <v>2532</v>
      </c>
      <c r="H188" s="9" t="s">
        <v>1754</v>
      </c>
      <c r="I188" s="9" t="s">
        <v>2533</v>
      </c>
      <c r="J188" s="9" t="s">
        <v>2528</v>
      </c>
      <c r="K188" s="9" t="s">
        <v>1659</v>
      </c>
      <c r="L188" s="9" t="s">
        <v>1660</v>
      </c>
      <c r="M188" s="9" t="s">
        <v>1661</v>
      </c>
      <c r="N188" s="9" t="s">
        <v>1662</v>
      </c>
    </row>
    <row r="189" customFormat="false" ht="54.75" hidden="false" customHeight="true" outlineLevel="0" collapsed="false">
      <c r="A189" s="9" t="s">
        <v>2534</v>
      </c>
      <c r="B189" s="9" t="s">
        <v>921</v>
      </c>
      <c r="C189" s="9" t="n">
        <v>6</v>
      </c>
      <c r="D189" s="9" t="s">
        <v>1652</v>
      </c>
      <c r="E189" s="9" t="s">
        <v>2535</v>
      </c>
      <c r="F189" s="9" t="s">
        <v>2536</v>
      </c>
      <c r="G189" s="9" t="s">
        <v>1931</v>
      </c>
      <c r="H189" s="9" t="s">
        <v>1754</v>
      </c>
      <c r="I189" s="9" t="s">
        <v>2537</v>
      </c>
      <c r="J189" s="9" t="s">
        <v>2528</v>
      </c>
      <c r="K189" s="9" t="s">
        <v>1659</v>
      </c>
      <c r="L189" s="9" t="s">
        <v>1660</v>
      </c>
      <c r="M189" s="9" t="s">
        <v>1661</v>
      </c>
      <c r="N189" s="9" t="s">
        <v>1662</v>
      </c>
    </row>
    <row r="190" customFormat="false" ht="41.25" hidden="false" customHeight="true" outlineLevel="0" collapsed="false">
      <c r="A190" s="9" t="s">
        <v>2538</v>
      </c>
      <c r="B190" s="9" t="s">
        <v>921</v>
      </c>
      <c r="C190" s="9" t="n">
        <v>7</v>
      </c>
      <c r="D190" s="9" t="s">
        <v>1676</v>
      </c>
      <c r="E190" s="9" t="s">
        <v>1677</v>
      </c>
      <c r="F190" s="9" t="s">
        <v>2539</v>
      </c>
      <c r="G190" s="9" t="s">
        <v>1679</v>
      </c>
      <c r="H190" s="9" t="s">
        <v>1680</v>
      </c>
      <c r="I190" s="9" t="s">
        <v>2540</v>
      </c>
      <c r="J190" s="9" t="s">
        <v>2541</v>
      </c>
      <c r="K190" s="9" t="s">
        <v>1683</v>
      </c>
      <c r="L190" s="9" t="s">
        <v>1684</v>
      </c>
      <c r="M190" s="9" t="s">
        <v>1685</v>
      </c>
      <c r="N190" s="9" t="s">
        <v>1686</v>
      </c>
    </row>
    <row r="191" customFormat="false" ht="41.25" hidden="false" customHeight="true" outlineLevel="0" collapsed="false">
      <c r="A191" s="9" t="s">
        <v>2542</v>
      </c>
      <c r="B191" s="9" t="s">
        <v>947</v>
      </c>
      <c r="C191" s="9" t="n">
        <v>1</v>
      </c>
      <c r="D191" s="9" t="s">
        <v>1631</v>
      </c>
      <c r="E191" s="9" t="s">
        <v>2543</v>
      </c>
      <c r="F191" s="9" t="s">
        <v>2544</v>
      </c>
      <c r="G191" s="9" t="s">
        <v>1634</v>
      </c>
      <c r="H191" s="9" t="s">
        <v>2399</v>
      </c>
      <c r="I191" s="9" t="s">
        <v>2400</v>
      </c>
      <c r="J191" s="9" t="s">
        <v>2545</v>
      </c>
      <c r="K191" s="9" t="s">
        <v>1638</v>
      </c>
      <c r="L191" s="9" t="s">
        <v>1639</v>
      </c>
      <c r="M191" s="9" t="s">
        <v>562</v>
      </c>
      <c r="N191" s="9" t="s">
        <v>1640</v>
      </c>
    </row>
    <row r="192" customFormat="false" ht="41.25" hidden="false" customHeight="true" outlineLevel="0" collapsed="false">
      <c r="A192" s="9" t="s">
        <v>2546</v>
      </c>
      <c r="B192" s="9" t="s">
        <v>947</v>
      </c>
      <c r="C192" s="9" t="n">
        <v>2</v>
      </c>
      <c r="D192" s="9" t="s">
        <v>1631</v>
      </c>
      <c r="E192" s="9" t="s">
        <v>2547</v>
      </c>
      <c r="F192" s="9" t="s">
        <v>2548</v>
      </c>
      <c r="G192" s="9" t="s">
        <v>1634</v>
      </c>
      <c r="H192" s="9" t="s">
        <v>2549</v>
      </c>
      <c r="I192" s="9" t="s">
        <v>2550</v>
      </c>
      <c r="J192" s="9" t="s">
        <v>2545</v>
      </c>
      <c r="K192" s="9" t="s">
        <v>1638</v>
      </c>
      <c r="L192" s="9" t="s">
        <v>1639</v>
      </c>
      <c r="M192" s="9" t="s">
        <v>562</v>
      </c>
      <c r="N192" s="9" t="s">
        <v>1640</v>
      </c>
    </row>
    <row r="193" customFormat="false" ht="41.25" hidden="false" customHeight="true" outlineLevel="0" collapsed="false">
      <c r="A193" s="9" t="s">
        <v>2551</v>
      </c>
      <c r="B193" s="9" t="s">
        <v>947</v>
      </c>
      <c r="C193" s="9" t="n">
        <v>3</v>
      </c>
      <c r="D193" s="9" t="s">
        <v>1631</v>
      </c>
      <c r="E193" s="9" t="s">
        <v>2552</v>
      </c>
      <c r="F193" s="9" t="s">
        <v>2553</v>
      </c>
      <c r="G193" s="9" t="s">
        <v>1634</v>
      </c>
      <c r="H193" s="9" t="s">
        <v>2211</v>
      </c>
      <c r="I193" s="9" t="s">
        <v>2212</v>
      </c>
      <c r="J193" s="9" t="s">
        <v>2545</v>
      </c>
      <c r="K193" s="9" t="s">
        <v>1638</v>
      </c>
      <c r="L193" s="9" t="s">
        <v>1639</v>
      </c>
      <c r="M193" s="9" t="s">
        <v>562</v>
      </c>
      <c r="N193" s="9" t="s">
        <v>1640</v>
      </c>
    </row>
    <row r="194" customFormat="false" ht="54.75" hidden="false" customHeight="true" outlineLevel="0" collapsed="false">
      <c r="A194" s="9" t="s">
        <v>2554</v>
      </c>
      <c r="B194" s="9" t="s">
        <v>947</v>
      </c>
      <c r="C194" s="9" t="n">
        <v>4</v>
      </c>
      <c r="D194" s="9" t="s">
        <v>1652</v>
      </c>
      <c r="E194" s="9" t="s">
        <v>2310</v>
      </c>
      <c r="F194" s="9" t="s">
        <v>2311</v>
      </c>
      <c r="G194" s="9" t="s">
        <v>2555</v>
      </c>
      <c r="H194" s="9" t="s">
        <v>1673</v>
      </c>
      <c r="I194" s="9" t="s">
        <v>2556</v>
      </c>
      <c r="J194" s="9" t="s">
        <v>2557</v>
      </c>
      <c r="K194" s="9" t="s">
        <v>1659</v>
      </c>
      <c r="L194" s="9" t="s">
        <v>1660</v>
      </c>
      <c r="M194" s="9" t="s">
        <v>1661</v>
      </c>
      <c r="N194" s="9" t="s">
        <v>1662</v>
      </c>
    </row>
    <row r="195" customFormat="false" ht="54.75" hidden="false" customHeight="true" outlineLevel="0" collapsed="false">
      <c r="A195" s="9" t="s">
        <v>2558</v>
      </c>
      <c r="B195" s="9" t="s">
        <v>947</v>
      </c>
      <c r="C195" s="9" t="n">
        <v>5</v>
      </c>
      <c r="D195" s="9" t="s">
        <v>1652</v>
      </c>
      <c r="E195" s="9" t="s">
        <v>2559</v>
      </c>
      <c r="F195" s="9" t="s">
        <v>2560</v>
      </c>
      <c r="G195" s="9" t="s">
        <v>1931</v>
      </c>
      <c r="H195" s="9" t="s">
        <v>1754</v>
      </c>
      <c r="I195" s="9" t="s">
        <v>2561</v>
      </c>
      <c r="J195" s="9" t="s">
        <v>2557</v>
      </c>
      <c r="K195" s="9" t="s">
        <v>1659</v>
      </c>
      <c r="L195" s="9" t="s">
        <v>1660</v>
      </c>
      <c r="M195" s="9" t="s">
        <v>1661</v>
      </c>
      <c r="N195" s="9" t="s">
        <v>1662</v>
      </c>
    </row>
    <row r="196" customFormat="false" ht="54.75" hidden="false" customHeight="true" outlineLevel="0" collapsed="false">
      <c r="A196" s="9" t="s">
        <v>2562</v>
      </c>
      <c r="B196" s="9" t="s">
        <v>947</v>
      </c>
      <c r="C196" s="9" t="n">
        <v>6</v>
      </c>
      <c r="D196" s="9" t="s">
        <v>1652</v>
      </c>
      <c r="E196" s="9" t="s">
        <v>2436</v>
      </c>
      <c r="F196" s="9" t="s">
        <v>2437</v>
      </c>
      <c r="G196" s="9" t="s">
        <v>2347</v>
      </c>
      <c r="H196" s="9" t="s">
        <v>2061</v>
      </c>
      <c r="I196" s="9" t="s">
        <v>2563</v>
      </c>
      <c r="J196" s="9" t="s">
        <v>2557</v>
      </c>
      <c r="K196" s="9" t="s">
        <v>1659</v>
      </c>
      <c r="L196" s="9" t="s">
        <v>1660</v>
      </c>
      <c r="M196" s="9" t="s">
        <v>1661</v>
      </c>
      <c r="N196" s="9" t="s">
        <v>1662</v>
      </c>
    </row>
    <row r="197" customFormat="false" ht="41.25" hidden="false" customHeight="true" outlineLevel="0" collapsed="false">
      <c r="A197" s="9" t="s">
        <v>2564</v>
      </c>
      <c r="B197" s="9" t="s">
        <v>947</v>
      </c>
      <c r="C197" s="9" t="n">
        <v>7</v>
      </c>
      <c r="D197" s="9" t="s">
        <v>1676</v>
      </c>
      <c r="E197" s="9" t="s">
        <v>1677</v>
      </c>
      <c r="F197" s="9" t="s">
        <v>2565</v>
      </c>
      <c r="G197" s="9" t="s">
        <v>1679</v>
      </c>
      <c r="H197" s="9" t="s">
        <v>1680</v>
      </c>
      <c r="I197" s="9" t="s">
        <v>2566</v>
      </c>
      <c r="J197" s="9" t="s">
        <v>2567</v>
      </c>
      <c r="K197" s="9" t="s">
        <v>1683</v>
      </c>
      <c r="L197" s="9" t="s">
        <v>1684</v>
      </c>
      <c r="M197" s="9" t="s">
        <v>1685</v>
      </c>
      <c r="N197" s="9" t="s">
        <v>1686</v>
      </c>
    </row>
    <row r="198" customFormat="false" ht="41.25" hidden="false" customHeight="true" outlineLevel="0" collapsed="false">
      <c r="A198" s="9" t="s">
        <v>2568</v>
      </c>
      <c r="B198" s="9" t="s">
        <v>976</v>
      </c>
      <c r="C198" s="9" t="n">
        <v>1</v>
      </c>
      <c r="D198" s="9" t="s">
        <v>1631</v>
      </c>
      <c r="E198" s="9" t="s">
        <v>2569</v>
      </c>
      <c r="F198" s="9" t="s">
        <v>2570</v>
      </c>
      <c r="G198" s="9" t="s">
        <v>1634</v>
      </c>
      <c r="H198" s="9" t="s">
        <v>2571</v>
      </c>
      <c r="I198" s="9" t="s">
        <v>2572</v>
      </c>
      <c r="J198" s="9" t="s">
        <v>2573</v>
      </c>
      <c r="K198" s="9" t="s">
        <v>1638</v>
      </c>
      <c r="L198" s="9" t="s">
        <v>1639</v>
      </c>
      <c r="M198" s="9" t="s">
        <v>562</v>
      </c>
      <c r="N198" s="9" t="s">
        <v>1640</v>
      </c>
    </row>
    <row r="199" customFormat="false" ht="41.25" hidden="false" customHeight="true" outlineLevel="0" collapsed="false">
      <c r="A199" s="9" t="s">
        <v>2574</v>
      </c>
      <c r="B199" s="9" t="s">
        <v>976</v>
      </c>
      <c r="C199" s="9" t="n">
        <v>2</v>
      </c>
      <c r="D199" s="9" t="s">
        <v>1631</v>
      </c>
      <c r="E199" s="9" t="s">
        <v>2575</v>
      </c>
      <c r="F199" s="9" t="s">
        <v>2576</v>
      </c>
      <c r="G199" s="9" t="s">
        <v>1634</v>
      </c>
      <c r="H199" s="9" t="s">
        <v>2577</v>
      </c>
      <c r="I199" s="9" t="s">
        <v>2578</v>
      </c>
      <c r="J199" s="9" t="s">
        <v>2573</v>
      </c>
      <c r="K199" s="9" t="s">
        <v>1638</v>
      </c>
      <c r="L199" s="9" t="s">
        <v>1639</v>
      </c>
      <c r="M199" s="9" t="s">
        <v>562</v>
      </c>
      <c r="N199" s="9" t="s">
        <v>1640</v>
      </c>
    </row>
    <row r="200" customFormat="false" ht="41.25" hidden="false" customHeight="true" outlineLevel="0" collapsed="false">
      <c r="A200" s="9" t="s">
        <v>2579</v>
      </c>
      <c r="B200" s="9" t="s">
        <v>976</v>
      </c>
      <c r="C200" s="9" t="n">
        <v>3</v>
      </c>
      <c r="D200" s="9" t="s">
        <v>1631</v>
      </c>
      <c r="E200" s="9" t="s">
        <v>2365</v>
      </c>
      <c r="F200" s="9" t="s">
        <v>476</v>
      </c>
      <c r="G200" s="9" t="s">
        <v>1634</v>
      </c>
      <c r="H200" s="9" t="s">
        <v>2580</v>
      </c>
      <c r="I200" s="9" t="s">
        <v>2581</v>
      </c>
      <c r="J200" s="9" t="s">
        <v>2573</v>
      </c>
      <c r="K200" s="9" t="s">
        <v>1638</v>
      </c>
      <c r="L200" s="9" t="s">
        <v>1639</v>
      </c>
      <c r="M200" s="9" t="s">
        <v>562</v>
      </c>
      <c r="N200" s="9" t="s">
        <v>1640</v>
      </c>
    </row>
    <row r="201" customFormat="false" ht="54.75" hidden="false" customHeight="true" outlineLevel="0" collapsed="false">
      <c r="A201" s="9" t="s">
        <v>2582</v>
      </c>
      <c r="B201" s="9" t="s">
        <v>976</v>
      </c>
      <c r="C201" s="9" t="n">
        <v>4</v>
      </c>
      <c r="D201" s="9" t="s">
        <v>1652</v>
      </c>
      <c r="E201" s="9" t="s">
        <v>1993</v>
      </c>
      <c r="F201" s="9" t="s">
        <v>1994</v>
      </c>
      <c r="G201" s="9" t="s">
        <v>2066</v>
      </c>
      <c r="H201" s="9" t="s">
        <v>1656</v>
      </c>
      <c r="I201" s="9" t="s">
        <v>2583</v>
      </c>
      <c r="J201" s="9" t="s">
        <v>2584</v>
      </c>
      <c r="K201" s="9" t="s">
        <v>1659</v>
      </c>
      <c r="L201" s="9" t="s">
        <v>1660</v>
      </c>
      <c r="M201" s="9" t="s">
        <v>1661</v>
      </c>
      <c r="N201" s="9" t="s">
        <v>1662</v>
      </c>
    </row>
    <row r="202" customFormat="false" ht="54.75" hidden="false" customHeight="true" outlineLevel="0" collapsed="false">
      <c r="A202" s="9" t="s">
        <v>2585</v>
      </c>
      <c r="B202" s="9" t="s">
        <v>976</v>
      </c>
      <c r="C202" s="9" t="n">
        <v>5</v>
      </c>
      <c r="D202" s="9" t="s">
        <v>1652</v>
      </c>
      <c r="E202" s="9" t="s">
        <v>2586</v>
      </c>
      <c r="F202" s="9" t="s">
        <v>2587</v>
      </c>
      <c r="G202" s="9" t="s">
        <v>2163</v>
      </c>
      <c r="H202" s="9" t="s">
        <v>1667</v>
      </c>
      <c r="I202" s="9" t="s">
        <v>2588</v>
      </c>
      <c r="J202" s="9" t="s">
        <v>2584</v>
      </c>
      <c r="K202" s="9" t="s">
        <v>1659</v>
      </c>
      <c r="L202" s="9" t="s">
        <v>1660</v>
      </c>
      <c r="M202" s="9" t="s">
        <v>1661</v>
      </c>
      <c r="N202" s="9" t="s">
        <v>1662</v>
      </c>
    </row>
    <row r="203" customFormat="false" ht="54.75" hidden="false" customHeight="true" outlineLevel="0" collapsed="false">
      <c r="A203" s="9" t="s">
        <v>2589</v>
      </c>
      <c r="B203" s="9" t="s">
        <v>976</v>
      </c>
      <c r="C203" s="9" t="n">
        <v>6</v>
      </c>
      <c r="D203" s="9" t="s">
        <v>1652</v>
      </c>
      <c r="E203" s="9" t="s">
        <v>2590</v>
      </c>
      <c r="F203" s="9" t="s">
        <v>2591</v>
      </c>
      <c r="G203" s="9" t="s">
        <v>2592</v>
      </c>
      <c r="H203" s="9" t="s">
        <v>2092</v>
      </c>
      <c r="I203" s="9" t="s">
        <v>2593</v>
      </c>
      <c r="J203" s="9" t="s">
        <v>2584</v>
      </c>
      <c r="K203" s="9" t="s">
        <v>1659</v>
      </c>
      <c r="L203" s="9" t="s">
        <v>1660</v>
      </c>
      <c r="M203" s="9" t="s">
        <v>1661</v>
      </c>
      <c r="N203" s="9" t="s">
        <v>1662</v>
      </c>
    </row>
    <row r="204" customFormat="false" ht="41.25" hidden="false" customHeight="true" outlineLevel="0" collapsed="false">
      <c r="A204" s="9" t="s">
        <v>2594</v>
      </c>
      <c r="B204" s="9" t="s">
        <v>976</v>
      </c>
      <c r="C204" s="9" t="n">
        <v>7</v>
      </c>
      <c r="D204" s="9" t="s">
        <v>1676</v>
      </c>
      <c r="E204" s="9" t="s">
        <v>1677</v>
      </c>
      <c r="F204" s="9" t="s">
        <v>2595</v>
      </c>
      <c r="G204" s="9" t="s">
        <v>1679</v>
      </c>
      <c r="H204" s="9" t="s">
        <v>1680</v>
      </c>
      <c r="I204" s="9" t="s">
        <v>2596</v>
      </c>
      <c r="J204" s="9" t="s">
        <v>2597</v>
      </c>
      <c r="K204" s="9" t="s">
        <v>1683</v>
      </c>
      <c r="L204" s="9" t="s">
        <v>1684</v>
      </c>
      <c r="M204" s="9" t="s">
        <v>1685</v>
      </c>
      <c r="N204" s="9" t="s">
        <v>1686</v>
      </c>
    </row>
    <row r="205" customFormat="false" ht="41.25" hidden="false" customHeight="true" outlineLevel="0" collapsed="false">
      <c r="A205" s="9" t="s">
        <v>2598</v>
      </c>
      <c r="B205" s="9" t="s">
        <v>1002</v>
      </c>
      <c r="C205" s="9" t="n">
        <v>1</v>
      </c>
      <c r="D205" s="9" t="s">
        <v>1631</v>
      </c>
      <c r="E205" s="9" t="s">
        <v>2599</v>
      </c>
      <c r="F205" s="9" t="s">
        <v>2600</v>
      </c>
      <c r="G205" s="9" t="s">
        <v>1634</v>
      </c>
      <c r="H205" s="9" t="s">
        <v>2601</v>
      </c>
      <c r="I205" s="9" t="s">
        <v>2602</v>
      </c>
      <c r="J205" s="9" t="s">
        <v>2603</v>
      </c>
      <c r="K205" s="9" t="s">
        <v>1638</v>
      </c>
      <c r="L205" s="9" t="s">
        <v>1639</v>
      </c>
      <c r="M205" s="9" t="s">
        <v>562</v>
      </c>
      <c r="N205" s="9" t="s">
        <v>1640</v>
      </c>
    </row>
    <row r="206" customFormat="false" ht="41.25" hidden="false" customHeight="true" outlineLevel="0" collapsed="false">
      <c r="A206" s="9" t="s">
        <v>2604</v>
      </c>
      <c r="B206" s="9" t="s">
        <v>1002</v>
      </c>
      <c r="C206" s="9" t="n">
        <v>2</v>
      </c>
      <c r="D206" s="9" t="s">
        <v>1631</v>
      </c>
      <c r="E206" s="9" t="s">
        <v>2605</v>
      </c>
      <c r="F206" s="9" t="s">
        <v>2606</v>
      </c>
      <c r="G206" s="9" t="s">
        <v>1634</v>
      </c>
      <c r="H206" s="9" t="s">
        <v>2607</v>
      </c>
      <c r="I206" s="9" t="s">
        <v>2608</v>
      </c>
      <c r="J206" s="9" t="s">
        <v>2603</v>
      </c>
      <c r="K206" s="9" t="s">
        <v>1638</v>
      </c>
      <c r="L206" s="9" t="s">
        <v>1639</v>
      </c>
      <c r="M206" s="9" t="s">
        <v>562</v>
      </c>
      <c r="N206" s="9" t="s">
        <v>1640</v>
      </c>
    </row>
    <row r="207" customFormat="false" ht="41.25" hidden="false" customHeight="true" outlineLevel="0" collapsed="false">
      <c r="A207" s="9" t="s">
        <v>2609</v>
      </c>
      <c r="B207" s="9" t="s">
        <v>1002</v>
      </c>
      <c r="C207" s="9" t="n">
        <v>3</v>
      </c>
      <c r="D207" s="9" t="s">
        <v>1631</v>
      </c>
      <c r="E207" s="9" t="s">
        <v>2610</v>
      </c>
      <c r="F207" s="9" t="s">
        <v>2611</v>
      </c>
      <c r="G207" s="9" t="s">
        <v>1634</v>
      </c>
      <c r="H207" s="9" t="s">
        <v>2612</v>
      </c>
      <c r="I207" s="9" t="s">
        <v>2613</v>
      </c>
      <c r="J207" s="9" t="s">
        <v>2603</v>
      </c>
      <c r="K207" s="9" t="s">
        <v>1638</v>
      </c>
      <c r="L207" s="9" t="s">
        <v>1639</v>
      </c>
      <c r="M207" s="9" t="s">
        <v>562</v>
      </c>
      <c r="N207" s="9" t="s">
        <v>1640</v>
      </c>
    </row>
    <row r="208" customFormat="false" ht="54.75" hidden="false" customHeight="true" outlineLevel="0" collapsed="false">
      <c r="A208" s="9" t="s">
        <v>2614</v>
      </c>
      <c r="B208" s="9" t="s">
        <v>1002</v>
      </c>
      <c r="C208" s="9" t="n">
        <v>4</v>
      </c>
      <c r="D208" s="9" t="s">
        <v>1652</v>
      </c>
      <c r="E208" s="9" t="s">
        <v>1993</v>
      </c>
      <c r="F208" s="9" t="s">
        <v>1994</v>
      </c>
      <c r="G208" s="9" t="s">
        <v>2066</v>
      </c>
      <c r="H208" s="9" t="s">
        <v>1656</v>
      </c>
      <c r="I208" s="9" t="s">
        <v>2615</v>
      </c>
      <c r="J208" s="9" t="s">
        <v>2616</v>
      </c>
      <c r="K208" s="9" t="s">
        <v>1659</v>
      </c>
      <c r="L208" s="9" t="s">
        <v>1660</v>
      </c>
      <c r="M208" s="9" t="s">
        <v>1661</v>
      </c>
      <c r="N208" s="9" t="s">
        <v>1662</v>
      </c>
    </row>
    <row r="209" customFormat="false" ht="54.75" hidden="false" customHeight="true" outlineLevel="0" collapsed="false">
      <c r="A209" s="9" t="s">
        <v>2617</v>
      </c>
      <c r="B209" s="9" t="s">
        <v>1002</v>
      </c>
      <c r="C209" s="9" t="n">
        <v>5</v>
      </c>
      <c r="D209" s="9" t="s">
        <v>1652</v>
      </c>
      <c r="E209" s="9" t="s">
        <v>2618</v>
      </c>
      <c r="F209" s="9" t="s">
        <v>2619</v>
      </c>
      <c r="G209" s="9" t="s">
        <v>1931</v>
      </c>
      <c r="H209" s="9" t="s">
        <v>1754</v>
      </c>
      <c r="I209" s="9" t="s">
        <v>2032</v>
      </c>
      <c r="J209" s="9" t="s">
        <v>2616</v>
      </c>
      <c r="K209" s="9" t="s">
        <v>1659</v>
      </c>
      <c r="L209" s="9" t="s">
        <v>1660</v>
      </c>
      <c r="M209" s="9" t="s">
        <v>1661</v>
      </c>
      <c r="N209" s="9" t="s">
        <v>1662</v>
      </c>
    </row>
    <row r="210" customFormat="false" ht="54.75" hidden="false" customHeight="true" outlineLevel="0" collapsed="false">
      <c r="A210" s="9" t="s">
        <v>2620</v>
      </c>
      <c r="B210" s="9" t="s">
        <v>1002</v>
      </c>
      <c r="C210" s="9" t="n">
        <v>6</v>
      </c>
      <c r="D210" s="9" t="s">
        <v>1652</v>
      </c>
      <c r="E210" s="9" t="s">
        <v>2374</v>
      </c>
      <c r="F210" s="9" t="s">
        <v>2375</v>
      </c>
      <c r="G210" s="9" t="s">
        <v>1931</v>
      </c>
      <c r="H210" s="9" t="s">
        <v>1754</v>
      </c>
      <c r="I210" s="9" t="s">
        <v>2621</v>
      </c>
      <c r="J210" s="9" t="s">
        <v>2616</v>
      </c>
      <c r="K210" s="9" t="s">
        <v>1659</v>
      </c>
      <c r="L210" s="9" t="s">
        <v>1660</v>
      </c>
      <c r="M210" s="9" t="s">
        <v>1661</v>
      </c>
      <c r="N210" s="9" t="s">
        <v>1662</v>
      </c>
    </row>
    <row r="211" customFormat="false" ht="41.25" hidden="false" customHeight="true" outlineLevel="0" collapsed="false">
      <c r="A211" s="9" t="s">
        <v>2622</v>
      </c>
      <c r="B211" s="9" t="s">
        <v>1002</v>
      </c>
      <c r="C211" s="9" t="n">
        <v>7</v>
      </c>
      <c r="D211" s="9" t="s">
        <v>1676</v>
      </c>
      <c r="E211" s="9" t="s">
        <v>1677</v>
      </c>
      <c r="F211" s="9" t="s">
        <v>1009</v>
      </c>
      <c r="G211" s="9" t="s">
        <v>1679</v>
      </c>
      <c r="H211" s="9" t="s">
        <v>1680</v>
      </c>
      <c r="I211" s="9" t="s">
        <v>2623</v>
      </c>
      <c r="J211" s="9" t="s">
        <v>2624</v>
      </c>
      <c r="K211" s="9" t="s">
        <v>1683</v>
      </c>
      <c r="L211" s="9" t="s">
        <v>1684</v>
      </c>
      <c r="M211" s="9" t="s">
        <v>1685</v>
      </c>
      <c r="N211" s="9" t="s">
        <v>1686</v>
      </c>
    </row>
    <row r="212" customFormat="false" ht="41.25" hidden="false" customHeight="true" outlineLevel="0" collapsed="false">
      <c r="A212" s="9" t="s">
        <v>2625</v>
      </c>
      <c r="B212" s="9" t="s">
        <v>1022</v>
      </c>
      <c r="C212" s="9" t="n">
        <v>1</v>
      </c>
      <c r="D212" s="9" t="s">
        <v>1631</v>
      </c>
      <c r="E212" s="9" t="s">
        <v>2626</v>
      </c>
      <c r="F212" s="9" t="s">
        <v>2627</v>
      </c>
      <c r="G212" s="9" t="s">
        <v>1634</v>
      </c>
      <c r="H212" s="9" t="s">
        <v>2628</v>
      </c>
      <c r="I212" s="9" t="s">
        <v>2629</v>
      </c>
      <c r="J212" s="9" t="s">
        <v>2630</v>
      </c>
      <c r="K212" s="9" t="s">
        <v>1638</v>
      </c>
      <c r="L212" s="9" t="s">
        <v>1639</v>
      </c>
      <c r="M212" s="9" t="s">
        <v>562</v>
      </c>
      <c r="N212" s="9" t="s">
        <v>1640</v>
      </c>
    </row>
    <row r="213" customFormat="false" ht="41.25" hidden="false" customHeight="true" outlineLevel="0" collapsed="false">
      <c r="A213" s="9" t="s">
        <v>2631</v>
      </c>
      <c r="B213" s="9" t="s">
        <v>1022</v>
      </c>
      <c r="C213" s="9" t="n">
        <v>2</v>
      </c>
      <c r="D213" s="9" t="s">
        <v>1631</v>
      </c>
      <c r="E213" s="9" t="s">
        <v>2632</v>
      </c>
      <c r="F213" s="9" t="s">
        <v>2633</v>
      </c>
      <c r="G213" s="9" t="s">
        <v>1634</v>
      </c>
      <c r="H213" s="9" t="s">
        <v>2634</v>
      </c>
      <c r="I213" s="9" t="s">
        <v>2635</v>
      </c>
      <c r="J213" s="9" t="s">
        <v>2630</v>
      </c>
      <c r="K213" s="9" t="s">
        <v>1638</v>
      </c>
      <c r="L213" s="9" t="s">
        <v>1639</v>
      </c>
      <c r="M213" s="9" t="s">
        <v>562</v>
      </c>
      <c r="N213" s="9" t="s">
        <v>1640</v>
      </c>
    </row>
    <row r="214" customFormat="false" ht="41.25" hidden="false" customHeight="true" outlineLevel="0" collapsed="false">
      <c r="A214" s="9" t="s">
        <v>2636</v>
      </c>
      <c r="B214" s="9" t="s">
        <v>1022</v>
      </c>
      <c r="C214" s="9" t="n">
        <v>3</v>
      </c>
      <c r="D214" s="9" t="s">
        <v>1631</v>
      </c>
      <c r="E214" s="9" t="s">
        <v>2637</v>
      </c>
      <c r="F214" s="9" t="s">
        <v>2638</v>
      </c>
      <c r="G214" s="9" t="s">
        <v>1634</v>
      </c>
      <c r="H214" s="9" t="s">
        <v>2639</v>
      </c>
      <c r="I214" s="9" t="s">
        <v>2640</v>
      </c>
      <c r="J214" s="9" t="s">
        <v>2630</v>
      </c>
      <c r="K214" s="9" t="s">
        <v>1638</v>
      </c>
      <c r="L214" s="9" t="s">
        <v>1639</v>
      </c>
      <c r="M214" s="9" t="s">
        <v>562</v>
      </c>
      <c r="N214" s="9" t="s">
        <v>1640</v>
      </c>
    </row>
    <row r="215" customFormat="false" ht="54.75" hidden="false" customHeight="true" outlineLevel="0" collapsed="false">
      <c r="A215" s="9" t="s">
        <v>2641</v>
      </c>
      <c r="B215" s="9" t="s">
        <v>1022</v>
      </c>
      <c r="C215" s="9" t="n">
        <v>4</v>
      </c>
      <c r="D215" s="9" t="s">
        <v>1652</v>
      </c>
      <c r="E215" s="9" t="s">
        <v>1889</v>
      </c>
      <c r="F215" s="9" t="s">
        <v>1890</v>
      </c>
      <c r="G215" s="9" t="s">
        <v>2066</v>
      </c>
      <c r="H215" s="9" t="s">
        <v>1656</v>
      </c>
      <c r="I215" s="9" t="s">
        <v>2642</v>
      </c>
      <c r="J215" s="9" t="s">
        <v>2643</v>
      </c>
      <c r="K215" s="9" t="s">
        <v>1659</v>
      </c>
      <c r="L215" s="9" t="s">
        <v>1660</v>
      </c>
      <c r="M215" s="9" t="s">
        <v>1661</v>
      </c>
      <c r="N215" s="9" t="s">
        <v>1662</v>
      </c>
    </row>
    <row r="216" customFormat="false" ht="54.75" hidden="false" customHeight="true" outlineLevel="0" collapsed="false">
      <c r="A216" s="9" t="s">
        <v>2644</v>
      </c>
      <c r="B216" s="9" t="s">
        <v>1022</v>
      </c>
      <c r="C216" s="9" t="n">
        <v>5</v>
      </c>
      <c r="D216" s="9" t="s">
        <v>1652</v>
      </c>
      <c r="E216" s="9" t="s">
        <v>2645</v>
      </c>
      <c r="F216" s="9" t="s">
        <v>2646</v>
      </c>
      <c r="G216" s="9" t="s">
        <v>2129</v>
      </c>
      <c r="H216" s="9" t="s">
        <v>1673</v>
      </c>
      <c r="I216" s="9" t="s">
        <v>2647</v>
      </c>
      <c r="J216" s="9" t="s">
        <v>2643</v>
      </c>
      <c r="K216" s="9" t="s">
        <v>1659</v>
      </c>
      <c r="L216" s="9" t="s">
        <v>1660</v>
      </c>
      <c r="M216" s="9" t="s">
        <v>1661</v>
      </c>
      <c r="N216" s="9" t="s">
        <v>1662</v>
      </c>
    </row>
    <row r="217" customFormat="false" ht="54.75" hidden="false" customHeight="true" outlineLevel="0" collapsed="false">
      <c r="A217" s="9" t="s">
        <v>2648</v>
      </c>
      <c r="B217" s="9" t="s">
        <v>1022</v>
      </c>
      <c r="C217" s="9" t="n">
        <v>6</v>
      </c>
      <c r="D217" s="9" t="s">
        <v>1652</v>
      </c>
      <c r="E217" s="9" t="s">
        <v>2586</v>
      </c>
      <c r="F217" s="9" t="s">
        <v>2587</v>
      </c>
      <c r="G217" s="9" t="s">
        <v>2163</v>
      </c>
      <c r="H217" s="9" t="s">
        <v>1667</v>
      </c>
      <c r="I217" s="9" t="s">
        <v>1961</v>
      </c>
      <c r="J217" s="9" t="s">
        <v>2643</v>
      </c>
      <c r="K217" s="9" t="s">
        <v>1659</v>
      </c>
      <c r="L217" s="9" t="s">
        <v>1660</v>
      </c>
      <c r="M217" s="9" t="s">
        <v>1661</v>
      </c>
      <c r="N217" s="9" t="s">
        <v>1662</v>
      </c>
    </row>
    <row r="218" customFormat="false" ht="41.25" hidden="false" customHeight="true" outlineLevel="0" collapsed="false">
      <c r="A218" s="9" t="s">
        <v>2649</v>
      </c>
      <c r="B218" s="9" t="s">
        <v>1022</v>
      </c>
      <c r="C218" s="9" t="n">
        <v>7</v>
      </c>
      <c r="D218" s="9" t="s">
        <v>1676</v>
      </c>
      <c r="E218" s="9" t="s">
        <v>1677</v>
      </c>
      <c r="F218" s="9" t="s">
        <v>1030</v>
      </c>
      <c r="G218" s="9" t="s">
        <v>1679</v>
      </c>
      <c r="H218" s="9" t="s">
        <v>1680</v>
      </c>
      <c r="I218" s="9" t="s">
        <v>2650</v>
      </c>
      <c r="J218" s="9" t="s">
        <v>2651</v>
      </c>
      <c r="K218" s="9" t="s">
        <v>1683</v>
      </c>
      <c r="L218" s="9" t="s">
        <v>1684</v>
      </c>
      <c r="M218" s="9" t="s">
        <v>1685</v>
      </c>
      <c r="N218" s="9" t="s">
        <v>1686</v>
      </c>
    </row>
    <row r="219" customFormat="false" ht="41.25" hidden="false" customHeight="true" outlineLevel="0" collapsed="false">
      <c r="A219" s="9" t="s">
        <v>2652</v>
      </c>
      <c r="B219" s="9" t="s">
        <v>1044</v>
      </c>
      <c r="C219" s="9" t="n">
        <v>1</v>
      </c>
      <c r="D219" s="9" t="s">
        <v>1631</v>
      </c>
      <c r="E219" s="9" t="s">
        <v>2653</v>
      </c>
      <c r="F219" s="9" t="s">
        <v>2654</v>
      </c>
      <c r="G219" s="9" t="s">
        <v>1634</v>
      </c>
      <c r="H219" s="9" t="s">
        <v>2655</v>
      </c>
      <c r="I219" s="9" t="s">
        <v>2656</v>
      </c>
      <c r="J219" s="9" t="s">
        <v>2657</v>
      </c>
      <c r="K219" s="9" t="s">
        <v>1638</v>
      </c>
      <c r="L219" s="9" t="s">
        <v>1639</v>
      </c>
      <c r="M219" s="9" t="s">
        <v>562</v>
      </c>
      <c r="N219" s="9" t="s">
        <v>1640</v>
      </c>
    </row>
    <row r="220" customFormat="false" ht="41.25" hidden="false" customHeight="true" outlineLevel="0" collapsed="false">
      <c r="A220" s="9" t="s">
        <v>2658</v>
      </c>
      <c r="B220" s="9" t="s">
        <v>1044</v>
      </c>
      <c r="C220" s="9" t="n">
        <v>2</v>
      </c>
      <c r="D220" s="9" t="s">
        <v>1631</v>
      </c>
      <c r="E220" s="9" t="s">
        <v>2659</v>
      </c>
      <c r="F220" s="9" t="s">
        <v>2660</v>
      </c>
      <c r="G220" s="9" t="s">
        <v>1634</v>
      </c>
      <c r="H220" s="9" t="s">
        <v>2661</v>
      </c>
      <c r="I220" s="9" t="s">
        <v>2662</v>
      </c>
      <c r="J220" s="9" t="s">
        <v>2657</v>
      </c>
      <c r="K220" s="9" t="s">
        <v>1638</v>
      </c>
      <c r="L220" s="9" t="s">
        <v>1639</v>
      </c>
      <c r="M220" s="9" t="s">
        <v>562</v>
      </c>
      <c r="N220" s="9" t="s">
        <v>1640</v>
      </c>
    </row>
    <row r="221" customFormat="false" ht="41.25" hidden="false" customHeight="true" outlineLevel="0" collapsed="false">
      <c r="A221" s="9" t="s">
        <v>2663</v>
      </c>
      <c r="B221" s="9" t="s">
        <v>1044</v>
      </c>
      <c r="C221" s="9" t="n">
        <v>3</v>
      </c>
      <c r="D221" s="9" t="s">
        <v>1631</v>
      </c>
      <c r="E221" s="9" t="s">
        <v>2664</v>
      </c>
      <c r="F221" s="9" t="s">
        <v>2665</v>
      </c>
      <c r="G221" s="9" t="s">
        <v>1634</v>
      </c>
      <c r="H221" s="9" t="s">
        <v>2666</v>
      </c>
      <c r="I221" s="9" t="s">
        <v>2667</v>
      </c>
      <c r="J221" s="9" t="s">
        <v>2657</v>
      </c>
      <c r="K221" s="9" t="s">
        <v>1638</v>
      </c>
      <c r="L221" s="9" t="s">
        <v>1639</v>
      </c>
      <c r="M221" s="9" t="s">
        <v>562</v>
      </c>
      <c r="N221" s="9" t="s">
        <v>1640</v>
      </c>
    </row>
    <row r="222" customFormat="false" ht="54.75" hidden="false" customHeight="true" outlineLevel="0" collapsed="false">
      <c r="A222" s="9" t="s">
        <v>2668</v>
      </c>
      <c r="B222" s="9" t="s">
        <v>1044</v>
      </c>
      <c r="C222" s="9" t="n">
        <v>4</v>
      </c>
      <c r="D222" s="9" t="s">
        <v>1652</v>
      </c>
      <c r="E222" s="9" t="s">
        <v>2669</v>
      </c>
      <c r="F222" s="9" t="s">
        <v>2670</v>
      </c>
      <c r="G222" s="9" t="s">
        <v>2129</v>
      </c>
      <c r="H222" s="9" t="s">
        <v>1673</v>
      </c>
      <c r="I222" s="9" t="s">
        <v>2671</v>
      </c>
      <c r="J222" s="9" t="s">
        <v>2672</v>
      </c>
      <c r="K222" s="9" t="s">
        <v>1659</v>
      </c>
      <c r="L222" s="9" t="s">
        <v>1660</v>
      </c>
      <c r="M222" s="9" t="s">
        <v>1661</v>
      </c>
      <c r="N222" s="9" t="s">
        <v>1662</v>
      </c>
    </row>
    <row r="223" customFormat="false" ht="54.75" hidden="false" customHeight="true" outlineLevel="0" collapsed="false">
      <c r="A223" s="9" t="s">
        <v>2673</v>
      </c>
      <c r="B223" s="9" t="s">
        <v>1044</v>
      </c>
      <c r="C223" s="9" t="n">
        <v>5</v>
      </c>
      <c r="D223" s="9" t="s">
        <v>1652</v>
      </c>
      <c r="E223" s="9" t="s">
        <v>1993</v>
      </c>
      <c r="F223" s="9" t="s">
        <v>1994</v>
      </c>
      <c r="G223" s="9" t="s">
        <v>2066</v>
      </c>
      <c r="H223" s="9" t="s">
        <v>1656</v>
      </c>
      <c r="I223" s="9" t="s">
        <v>2674</v>
      </c>
      <c r="J223" s="9" t="s">
        <v>2672</v>
      </c>
      <c r="K223" s="9" t="s">
        <v>1659</v>
      </c>
      <c r="L223" s="9" t="s">
        <v>1660</v>
      </c>
      <c r="M223" s="9" t="s">
        <v>1661</v>
      </c>
      <c r="N223" s="9" t="s">
        <v>1662</v>
      </c>
    </row>
    <row r="224" customFormat="false" ht="54.75" hidden="false" customHeight="true" outlineLevel="0" collapsed="false">
      <c r="A224" s="9" t="s">
        <v>2675</v>
      </c>
      <c r="B224" s="9" t="s">
        <v>1044</v>
      </c>
      <c r="C224" s="9" t="n">
        <v>6</v>
      </c>
      <c r="D224" s="9" t="s">
        <v>1652</v>
      </c>
      <c r="E224" s="9" t="s">
        <v>2028</v>
      </c>
      <c r="F224" s="9" t="s">
        <v>2029</v>
      </c>
      <c r="G224" s="9" t="s">
        <v>2030</v>
      </c>
      <c r="H224" s="9" t="s">
        <v>2031</v>
      </c>
      <c r="I224" s="9" t="s">
        <v>2676</v>
      </c>
      <c r="J224" s="9" t="s">
        <v>2672</v>
      </c>
      <c r="K224" s="9" t="s">
        <v>1659</v>
      </c>
      <c r="L224" s="9" t="s">
        <v>1660</v>
      </c>
      <c r="M224" s="9" t="s">
        <v>1661</v>
      </c>
      <c r="N224" s="9" t="s">
        <v>1662</v>
      </c>
    </row>
    <row r="225" customFormat="false" ht="41.25" hidden="false" customHeight="true" outlineLevel="0" collapsed="false">
      <c r="A225" s="9" t="s">
        <v>2677</v>
      </c>
      <c r="B225" s="9" t="s">
        <v>1044</v>
      </c>
      <c r="C225" s="9" t="n">
        <v>7</v>
      </c>
      <c r="D225" s="9" t="s">
        <v>1676</v>
      </c>
      <c r="E225" s="9" t="s">
        <v>1677</v>
      </c>
      <c r="F225" s="9" t="s">
        <v>1050</v>
      </c>
      <c r="G225" s="9" t="s">
        <v>1679</v>
      </c>
      <c r="H225" s="9" t="s">
        <v>1680</v>
      </c>
      <c r="I225" s="9" t="s">
        <v>2678</v>
      </c>
      <c r="J225" s="9" t="s">
        <v>2679</v>
      </c>
      <c r="K225" s="9" t="s">
        <v>1683</v>
      </c>
      <c r="L225" s="9" t="s">
        <v>1684</v>
      </c>
      <c r="M225" s="9" t="s">
        <v>1685</v>
      </c>
      <c r="N225" s="9" t="s">
        <v>1686</v>
      </c>
    </row>
    <row r="226" customFormat="false" ht="41.25" hidden="false" customHeight="true" outlineLevel="0" collapsed="false">
      <c r="A226" s="9" t="s">
        <v>2680</v>
      </c>
      <c r="B226" s="9" t="s">
        <v>1066</v>
      </c>
      <c r="C226" s="9" t="n">
        <v>1</v>
      </c>
      <c r="D226" s="9" t="s">
        <v>1631</v>
      </c>
      <c r="E226" s="9" t="s">
        <v>2681</v>
      </c>
      <c r="F226" s="9" t="s">
        <v>2682</v>
      </c>
      <c r="G226" s="9" t="s">
        <v>1634</v>
      </c>
      <c r="H226" s="9" t="s">
        <v>2683</v>
      </c>
      <c r="I226" s="9" t="s">
        <v>2684</v>
      </c>
      <c r="J226" s="9" t="s">
        <v>2685</v>
      </c>
      <c r="K226" s="9" t="s">
        <v>1638</v>
      </c>
      <c r="L226" s="9" t="s">
        <v>1639</v>
      </c>
      <c r="M226" s="9" t="s">
        <v>562</v>
      </c>
      <c r="N226" s="9" t="s">
        <v>1640</v>
      </c>
    </row>
    <row r="227" customFormat="false" ht="41.25" hidden="false" customHeight="true" outlineLevel="0" collapsed="false">
      <c r="A227" s="9" t="s">
        <v>2686</v>
      </c>
      <c r="B227" s="9" t="s">
        <v>1066</v>
      </c>
      <c r="C227" s="9" t="n">
        <v>2</v>
      </c>
      <c r="D227" s="9" t="s">
        <v>1631</v>
      </c>
      <c r="E227" s="9" t="s">
        <v>2687</v>
      </c>
      <c r="F227" s="9" t="s">
        <v>2688</v>
      </c>
      <c r="G227" s="9" t="s">
        <v>1634</v>
      </c>
      <c r="H227" s="9" t="s">
        <v>2689</v>
      </c>
      <c r="I227" s="9" t="s">
        <v>2690</v>
      </c>
      <c r="J227" s="9" t="s">
        <v>2685</v>
      </c>
      <c r="K227" s="9" t="s">
        <v>1638</v>
      </c>
      <c r="L227" s="9" t="s">
        <v>1639</v>
      </c>
      <c r="M227" s="9" t="s">
        <v>562</v>
      </c>
      <c r="N227" s="9" t="s">
        <v>1640</v>
      </c>
    </row>
    <row r="228" customFormat="false" ht="41.25" hidden="false" customHeight="true" outlineLevel="0" collapsed="false">
      <c r="A228" s="9" t="s">
        <v>2691</v>
      </c>
      <c r="B228" s="9" t="s">
        <v>1066</v>
      </c>
      <c r="C228" s="9" t="n">
        <v>3</v>
      </c>
      <c r="D228" s="9" t="s">
        <v>1631</v>
      </c>
      <c r="E228" s="9" t="s">
        <v>2692</v>
      </c>
      <c r="F228" s="9" t="s">
        <v>2693</v>
      </c>
      <c r="G228" s="9" t="s">
        <v>1634</v>
      </c>
      <c r="H228" s="9" t="s">
        <v>2694</v>
      </c>
      <c r="I228" s="9" t="s">
        <v>2695</v>
      </c>
      <c r="J228" s="9" t="s">
        <v>2685</v>
      </c>
      <c r="K228" s="9" t="s">
        <v>1638</v>
      </c>
      <c r="L228" s="9" t="s">
        <v>1639</v>
      </c>
      <c r="M228" s="9" t="s">
        <v>562</v>
      </c>
      <c r="N228" s="9" t="s">
        <v>1640</v>
      </c>
    </row>
    <row r="229" customFormat="false" ht="54.75" hidden="false" customHeight="true" outlineLevel="0" collapsed="false">
      <c r="A229" s="9" t="s">
        <v>2696</v>
      </c>
      <c r="B229" s="9" t="s">
        <v>1066</v>
      </c>
      <c r="C229" s="9" t="n">
        <v>4</v>
      </c>
      <c r="D229" s="9" t="s">
        <v>1652</v>
      </c>
      <c r="E229" s="9" t="s">
        <v>2697</v>
      </c>
      <c r="F229" s="9" t="s">
        <v>2698</v>
      </c>
      <c r="G229" s="9" t="s">
        <v>2532</v>
      </c>
      <c r="H229" s="9" t="s">
        <v>2061</v>
      </c>
      <c r="I229" s="9" t="s">
        <v>2699</v>
      </c>
      <c r="J229" s="9" t="s">
        <v>2700</v>
      </c>
      <c r="K229" s="9" t="s">
        <v>1659</v>
      </c>
      <c r="L229" s="9" t="s">
        <v>1660</v>
      </c>
      <c r="M229" s="9" t="s">
        <v>1661</v>
      </c>
      <c r="N229" s="9" t="s">
        <v>1662</v>
      </c>
    </row>
    <row r="230" customFormat="false" ht="54.75" hidden="false" customHeight="true" outlineLevel="0" collapsed="false">
      <c r="A230" s="9" t="s">
        <v>2701</v>
      </c>
      <c r="B230" s="9" t="s">
        <v>1066</v>
      </c>
      <c r="C230" s="9" t="n">
        <v>5</v>
      </c>
      <c r="D230" s="9" t="s">
        <v>1652</v>
      </c>
      <c r="E230" s="9" t="s">
        <v>1993</v>
      </c>
      <c r="F230" s="9" t="s">
        <v>1994</v>
      </c>
      <c r="G230" s="9" t="s">
        <v>2066</v>
      </c>
      <c r="H230" s="9" t="s">
        <v>1656</v>
      </c>
      <c r="I230" s="9" t="s">
        <v>2702</v>
      </c>
      <c r="J230" s="9" t="s">
        <v>2700</v>
      </c>
      <c r="K230" s="9" t="s">
        <v>1659</v>
      </c>
      <c r="L230" s="9" t="s">
        <v>1660</v>
      </c>
      <c r="M230" s="9" t="s">
        <v>1661</v>
      </c>
      <c r="N230" s="9" t="s">
        <v>1662</v>
      </c>
    </row>
    <row r="231" customFormat="false" ht="54.75" hidden="false" customHeight="true" outlineLevel="0" collapsed="false">
      <c r="A231" s="9" t="s">
        <v>2703</v>
      </c>
      <c r="B231" s="9" t="s">
        <v>1066</v>
      </c>
      <c r="C231" s="9" t="n">
        <v>6</v>
      </c>
      <c r="D231" s="9" t="s">
        <v>1652</v>
      </c>
      <c r="E231" s="9" t="s">
        <v>2704</v>
      </c>
      <c r="F231" s="9" t="s">
        <v>2705</v>
      </c>
      <c r="G231" s="9" t="s">
        <v>1931</v>
      </c>
      <c r="H231" s="9" t="s">
        <v>1754</v>
      </c>
      <c r="I231" s="9" t="s">
        <v>2706</v>
      </c>
      <c r="J231" s="9" t="s">
        <v>2700</v>
      </c>
      <c r="K231" s="9" t="s">
        <v>1659</v>
      </c>
      <c r="L231" s="9" t="s">
        <v>1660</v>
      </c>
      <c r="M231" s="9" t="s">
        <v>1661</v>
      </c>
      <c r="N231" s="9" t="s">
        <v>1662</v>
      </c>
    </row>
    <row r="232" customFormat="false" ht="41.25" hidden="false" customHeight="true" outlineLevel="0" collapsed="false">
      <c r="A232" s="9" t="s">
        <v>2707</v>
      </c>
      <c r="B232" s="9" t="s">
        <v>1066</v>
      </c>
      <c r="C232" s="9" t="n">
        <v>7</v>
      </c>
      <c r="D232" s="9" t="s">
        <v>1676</v>
      </c>
      <c r="E232" s="9" t="s">
        <v>1677</v>
      </c>
      <c r="F232" s="9" t="s">
        <v>1072</v>
      </c>
      <c r="G232" s="9" t="s">
        <v>1679</v>
      </c>
      <c r="H232" s="9" t="s">
        <v>1680</v>
      </c>
      <c r="I232" s="9" t="s">
        <v>2708</v>
      </c>
      <c r="J232" s="9" t="s">
        <v>2709</v>
      </c>
      <c r="K232" s="9" t="s">
        <v>1683</v>
      </c>
      <c r="L232" s="9" t="s">
        <v>1684</v>
      </c>
      <c r="M232" s="9" t="s">
        <v>1685</v>
      </c>
      <c r="N232" s="9" t="s">
        <v>1686</v>
      </c>
    </row>
    <row r="233" customFormat="false" ht="41.25" hidden="false" customHeight="true" outlineLevel="0" collapsed="false">
      <c r="A233" s="9" t="s">
        <v>2710</v>
      </c>
      <c r="B233" s="9" t="s">
        <v>1086</v>
      </c>
      <c r="C233" s="9" t="n">
        <v>1</v>
      </c>
      <c r="D233" s="9" t="s">
        <v>1631</v>
      </c>
      <c r="E233" s="9" t="s">
        <v>2711</v>
      </c>
      <c r="F233" s="9" t="s">
        <v>2712</v>
      </c>
      <c r="G233" s="9" t="s">
        <v>1634</v>
      </c>
      <c r="H233" s="9" t="s">
        <v>2713</v>
      </c>
      <c r="I233" s="9" t="s">
        <v>2714</v>
      </c>
      <c r="J233" s="9" t="s">
        <v>2715</v>
      </c>
      <c r="K233" s="9" t="s">
        <v>1638</v>
      </c>
      <c r="L233" s="9" t="s">
        <v>1639</v>
      </c>
      <c r="M233" s="9" t="s">
        <v>562</v>
      </c>
      <c r="N233" s="9" t="s">
        <v>1640</v>
      </c>
    </row>
    <row r="234" customFormat="false" ht="41.25" hidden="false" customHeight="true" outlineLevel="0" collapsed="false">
      <c r="A234" s="9" t="s">
        <v>2716</v>
      </c>
      <c r="B234" s="9" t="s">
        <v>1086</v>
      </c>
      <c r="C234" s="9" t="n">
        <v>2</v>
      </c>
      <c r="D234" s="9" t="s">
        <v>1631</v>
      </c>
      <c r="E234" s="9" t="s">
        <v>2599</v>
      </c>
      <c r="F234" s="9" t="s">
        <v>2600</v>
      </c>
      <c r="G234" s="9" t="s">
        <v>1634</v>
      </c>
      <c r="H234" s="9" t="s">
        <v>2601</v>
      </c>
      <c r="I234" s="9" t="s">
        <v>2602</v>
      </c>
      <c r="J234" s="9" t="s">
        <v>2715</v>
      </c>
      <c r="K234" s="9" t="s">
        <v>1638</v>
      </c>
      <c r="L234" s="9" t="s">
        <v>1639</v>
      </c>
      <c r="M234" s="9" t="s">
        <v>562</v>
      </c>
      <c r="N234" s="9" t="s">
        <v>1640</v>
      </c>
    </row>
    <row r="235" customFormat="false" ht="41.25" hidden="false" customHeight="true" outlineLevel="0" collapsed="false">
      <c r="A235" s="9" t="s">
        <v>2717</v>
      </c>
      <c r="B235" s="9" t="s">
        <v>1086</v>
      </c>
      <c r="C235" s="9" t="n">
        <v>3</v>
      </c>
      <c r="D235" s="9" t="s">
        <v>1631</v>
      </c>
      <c r="E235" s="9" t="s">
        <v>2718</v>
      </c>
      <c r="F235" s="9" t="s">
        <v>2719</v>
      </c>
      <c r="G235" s="9" t="s">
        <v>1634</v>
      </c>
      <c r="H235" s="9" t="s">
        <v>2720</v>
      </c>
      <c r="I235" s="9" t="s">
        <v>2721</v>
      </c>
      <c r="J235" s="9" t="s">
        <v>2715</v>
      </c>
      <c r="K235" s="9" t="s">
        <v>1638</v>
      </c>
      <c r="L235" s="9" t="s">
        <v>1639</v>
      </c>
      <c r="M235" s="9" t="s">
        <v>562</v>
      </c>
      <c r="N235" s="9" t="s">
        <v>1640</v>
      </c>
    </row>
    <row r="236" customFormat="false" ht="54.75" hidden="false" customHeight="true" outlineLevel="0" collapsed="false">
      <c r="A236" s="9" t="s">
        <v>2722</v>
      </c>
      <c r="B236" s="9" t="s">
        <v>1086</v>
      </c>
      <c r="C236" s="9" t="n">
        <v>4</v>
      </c>
      <c r="D236" s="9" t="s">
        <v>1652</v>
      </c>
      <c r="E236" s="9" t="s">
        <v>2723</v>
      </c>
      <c r="F236" s="9" t="s">
        <v>2724</v>
      </c>
      <c r="G236" s="9" t="s">
        <v>2066</v>
      </c>
      <c r="H236" s="9" t="s">
        <v>1656</v>
      </c>
      <c r="I236" s="9" t="s">
        <v>2725</v>
      </c>
      <c r="J236" s="9" t="s">
        <v>2726</v>
      </c>
      <c r="K236" s="9" t="s">
        <v>1659</v>
      </c>
      <c r="L236" s="9" t="s">
        <v>1660</v>
      </c>
      <c r="M236" s="9" t="s">
        <v>1661</v>
      </c>
      <c r="N236" s="9" t="s">
        <v>1662</v>
      </c>
    </row>
    <row r="237" customFormat="false" ht="54.75" hidden="false" customHeight="true" outlineLevel="0" collapsed="false">
      <c r="A237" s="9" t="s">
        <v>2727</v>
      </c>
      <c r="B237" s="9" t="s">
        <v>1086</v>
      </c>
      <c r="C237" s="9" t="n">
        <v>5</v>
      </c>
      <c r="D237" s="9" t="s">
        <v>1652</v>
      </c>
      <c r="E237" s="9" t="s">
        <v>2586</v>
      </c>
      <c r="F237" s="9" t="s">
        <v>2587</v>
      </c>
      <c r="G237" s="9" t="s">
        <v>2163</v>
      </c>
      <c r="H237" s="9" t="s">
        <v>1667</v>
      </c>
      <c r="I237" s="9" t="s">
        <v>2728</v>
      </c>
      <c r="J237" s="9" t="s">
        <v>2726</v>
      </c>
      <c r="K237" s="9" t="s">
        <v>1659</v>
      </c>
      <c r="L237" s="9" t="s">
        <v>1660</v>
      </c>
      <c r="M237" s="9" t="s">
        <v>1661</v>
      </c>
      <c r="N237" s="9" t="s">
        <v>1662</v>
      </c>
    </row>
    <row r="238" customFormat="false" ht="54.75" hidden="false" customHeight="true" outlineLevel="0" collapsed="false">
      <c r="A238" s="9" t="s">
        <v>2729</v>
      </c>
      <c r="B238" s="9" t="s">
        <v>1086</v>
      </c>
      <c r="C238" s="9" t="n">
        <v>6</v>
      </c>
      <c r="D238" s="9" t="s">
        <v>1652</v>
      </c>
      <c r="E238" s="9" t="s">
        <v>2730</v>
      </c>
      <c r="F238" s="9" t="s">
        <v>2731</v>
      </c>
      <c r="G238" s="9" t="s">
        <v>1753</v>
      </c>
      <c r="H238" s="9" t="s">
        <v>1754</v>
      </c>
      <c r="I238" s="9" t="s">
        <v>2732</v>
      </c>
      <c r="J238" s="9" t="s">
        <v>2726</v>
      </c>
      <c r="K238" s="9" t="s">
        <v>1659</v>
      </c>
      <c r="L238" s="9" t="s">
        <v>1660</v>
      </c>
      <c r="M238" s="9" t="s">
        <v>1661</v>
      </c>
      <c r="N238" s="9" t="s">
        <v>1662</v>
      </c>
    </row>
    <row r="239" customFormat="false" ht="41.25" hidden="false" customHeight="true" outlineLevel="0" collapsed="false">
      <c r="A239" s="9" t="s">
        <v>2733</v>
      </c>
      <c r="B239" s="9" t="s">
        <v>1086</v>
      </c>
      <c r="C239" s="9" t="n">
        <v>7</v>
      </c>
      <c r="D239" s="9" t="s">
        <v>1676</v>
      </c>
      <c r="E239" s="9" t="s">
        <v>1677</v>
      </c>
      <c r="F239" s="9" t="s">
        <v>1093</v>
      </c>
      <c r="G239" s="9" t="s">
        <v>1679</v>
      </c>
      <c r="H239" s="9" t="s">
        <v>1680</v>
      </c>
      <c r="I239" s="9" t="s">
        <v>2734</v>
      </c>
      <c r="J239" s="9" t="s">
        <v>2735</v>
      </c>
      <c r="K239" s="9" t="s">
        <v>1683</v>
      </c>
      <c r="L239" s="9" t="s">
        <v>1684</v>
      </c>
      <c r="M239" s="9" t="s">
        <v>1685</v>
      </c>
      <c r="N239" s="9" t="s">
        <v>1686</v>
      </c>
    </row>
    <row r="240" customFormat="false" ht="41.25" hidden="false" customHeight="true" outlineLevel="0" collapsed="false">
      <c r="A240" s="9" t="s">
        <v>2736</v>
      </c>
      <c r="B240" s="9" t="s">
        <v>1104</v>
      </c>
      <c r="C240" s="9" t="n">
        <v>1</v>
      </c>
      <c r="D240" s="9" t="s">
        <v>1631</v>
      </c>
      <c r="E240" s="9" t="s">
        <v>2737</v>
      </c>
      <c r="F240" s="9" t="s">
        <v>2738</v>
      </c>
      <c r="G240" s="9" t="s">
        <v>1634</v>
      </c>
      <c r="H240" s="9" t="s">
        <v>2739</v>
      </c>
      <c r="I240" s="9" t="s">
        <v>2740</v>
      </c>
      <c r="J240" s="9" t="s">
        <v>2741</v>
      </c>
      <c r="K240" s="9" t="s">
        <v>1638</v>
      </c>
      <c r="L240" s="9" t="s">
        <v>1639</v>
      </c>
      <c r="M240" s="9" t="s">
        <v>562</v>
      </c>
      <c r="N240" s="9" t="s">
        <v>1640</v>
      </c>
    </row>
    <row r="241" customFormat="false" ht="41.25" hidden="false" customHeight="true" outlineLevel="0" collapsed="false">
      <c r="A241" s="9" t="s">
        <v>2742</v>
      </c>
      <c r="B241" s="9" t="s">
        <v>1104</v>
      </c>
      <c r="C241" s="9" t="n">
        <v>2</v>
      </c>
      <c r="D241" s="9" t="s">
        <v>1631</v>
      </c>
      <c r="E241" s="9" t="s">
        <v>2743</v>
      </c>
      <c r="F241" s="9" t="s">
        <v>2744</v>
      </c>
      <c r="G241" s="9" t="s">
        <v>1634</v>
      </c>
      <c r="H241" s="9" t="s">
        <v>2394</v>
      </c>
      <c r="I241" s="9" t="s">
        <v>2395</v>
      </c>
      <c r="J241" s="9" t="s">
        <v>2741</v>
      </c>
      <c r="K241" s="9" t="s">
        <v>1638</v>
      </c>
      <c r="L241" s="9" t="s">
        <v>1639</v>
      </c>
      <c r="M241" s="9" t="s">
        <v>562</v>
      </c>
      <c r="N241" s="9" t="s">
        <v>1640</v>
      </c>
    </row>
    <row r="242" customFormat="false" ht="41.25" hidden="false" customHeight="true" outlineLevel="0" collapsed="false">
      <c r="A242" s="9" t="s">
        <v>2745</v>
      </c>
      <c r="B242" s="9" t="s">
        <v>1104</v>
      </c>
      <c r="C242" s="9" t="n">
        <v>3</v>
      </c>
      <c r="D242" s="9" t="s">
        <v>1631</v>
      </c>
      <c r="E242" s="9" t="s">
        <v>2746</v>
      </c>
      <c r="F242" s="9" t="s">
        <v>2747</v>
      </c>
      <c r="G242" s="9" t="s">
        <v>1634</v>
      </c>
      <c r="H242" s="9" t="s">
        <v>2748</v>
      </c>
      <c r="I242" s="9" t="s">
        <v>2749</v>
      </c>
      <c r="J242" s="9" t="s">
        <v>2741</v>
      </c>
      <c r="K242" s="9" t="s">
        <v>1638</v>
      </c>
      <c r="L242" s="9" t="s">
        <v>1639</v>
      </c>
      <c r="M242" s="9" t="s">
        <v>562</v>
      </c>
      <c r="N242" s="9" t="s">
        <v>1640</v>
      </c>
    </row>
    <row r="243" customFormat="false" ht="54.75" hidden="false" customHeight="true" outlineLevel="0" collapsed="false">
      <c r="A243" s="9" t="s">
        <v>2750</v>
      </c>
      <c r="B243" s="9" t="s">
        <v>1104</v>
      </c>
      <c r="C243" s="9" t="n">
        <v>4</v>
      </c>
      <c r="D243" s="9" t="s">
        <v>1652</v>
      </c>
      <c r="E243" s="9" t="s">
        <v>2751</v>
      </c>
      <c r="F243" s="9" t="s">
        <v>2752</v>
      </c>
      <c r="G243" s="9" t="s">
        <v>2753</v>
      </c>
      <c r="H243" s="9" t="s">
        <v>1754</v>
      </c>
      <c r="I243" s="9" t="s">
        <v>2754</v>
      </c>
      <c r="J243" s="9" t="s">
        <v>2755</v>
      </c>
      <c r="K243" s="9" t="s">
        <v>1659</v>
      </c>
      <c r="L243" s="9" t="s">
        <v>1660</v>
      </c>
      <c r="M243" s="9" t="s">
        <v>1661</v>
      </c>
      <c r="N243" s="9" t="s">
        <v>1662</v>
      </c>
    </row>
    <row r="244" customFormat="false" ht="54.75" hidden="false" customHeight="true" outlineLevel="0" collapsed="false">
      <c r="A244" s="9" t="s">
        <v>2756</v>
      </c>
      <c r="B244" s="9" t="s">
        <v>1104</v>
      </c>
      <c r="C244" s="9" t="n">
        <v>5</v>
      </c>
      <c r="D244" s="9" t="s">
        <v>1652</v>
      </c>
      <c r="E244" s="9" t="s">
        <v>1924</v>
      </c>
      <c r="F244" s="9" t="s">
        <v>1925</v>
      </c>
      <c r="G244" s="9" t="s">
        <v>2555</v>
      </c>
      <c r="H244" s="9" t="s">
        <v>1673</v>
      </c>
      <c r="I244" s="9" t="s">
        <v>2433</v>
      </c>
      <c r="J244" s="9" t="s">
        <v>2755</v>
      </c>
      <c r="K244" s="9" t="s">
        <v>1659</v>
      </c>
      <c r="L244" s="9" t="s">
        <v>1660</v>
      </c>
      <c r="M244" s="9" t="s">
        <v>1661</v>
      </c>
      <c r="N244" s="9" t="s">
        <v>1662</v>
      </c>
    </row>
    <row r="245" customFormat="false" ht="54.75" hidden="false" customHeight="true" outlineLevel="0" collapsed="false">
      <c r="A245" s="9" t="s">
        <v>2757</v>
      </c>
      <c r="B245" s="9" t="s">
        <v>1104</v>
      </c>
      <c r="C245" s="9" t="n">
        <v>6</v>
      </c>
      <c r="D245" s="9" t="s">
        <v>1652</v>
      </c>
      <c r="E245" s="9" t="s">
        <v>2758</v>
      </c>
      <c r="F245" s="9" t="s">
        <v>2759</v>
      </c>
      <c r="G245" s="9" t="s">
        <v>2163</v>
      </c>
      <c r="H245" s="9" t="s">
        <v>1667</v>
      </c>
      <c r="I245" s="9" t="s">
        <v>2588</v>
      </c>
      <c r="J245" s="9" t="s">
        <v>2755</v>
      </c>
      <c r="K245" s="9" t="s">
        <v>1659</v>
      </c>
      <c r="L245" s="9" t="s">
        <v>1660</v>
      </c>
      <c r="M245" s="9" t="s">
        <v>1661</v>
      </c>
      <c r="N245" s="9" t="s">
        <v>1662</v>
      </c>
    </row>
    <row r="246" customFormat="false" ht="41.25" hidden="false" customHeight="true" outlineLevel="0" collapsed="false">
      <c r="A246" s="9" t="s">
        <v>2760</v>
      </c>
      <c r="B246" s="9" t="s">
        <v>1104</v>
      </c>
      <c r="C246" s="9" t="n">
        <v>7</v>
      </c>
      <c r="D246" s="9" t="s">
        <v>1676</v>
      </c>
      <c r="E246" s="9" t="s">
        <v>1677</v>
      </c>
      <c r="F246" s="9" t="s">
        <v>2761</v>
      </c>
      <c r="G246" s="9" t="s">
        <v>1679</v>
      </c>
      <c r="H246" s="9" t="s">
        <v>1680</v>
      </c>
      <c r="I246" s="9" t="s">
        <v>2762</v>
      </c>
      <c r="J246" s="9" t="s">
        <v>2763</v>
      </c>
      <c r="K246" s="9" t="s">
        <v>1683</v>
      </c>
      <c r="L246" s="9" t="s">
        <v>1684</v>
      </c>
      <c r="M246" s="9" t="s">
        <v>1685</v>
      </c>
      <c r="N246" s="9" t="s">
        <v>1686</v>
      </c>
    </row>
    <row r="247" customFormat="false" ht="41.25" hidden="false" customHeight="true" outlineLevel="0" collapsed="false">
      <c r="A247" s="9" t="s">
        <v>2764</v>
      </c>
      <c r="B247" s="9" t="s">
        <v>1141</v>
      </c>
      <c r="C247" s="9" t="n">
        <v>1</v>
      </c>
      <c r="D247" s="9" t="s">
        <v>1631</v>
      </c>
      <c r="E247" s="9" t="s">
        <v>2765</v>
      </c>
      <c r="F247" s="9" t="s">
        <v>2766</v>
      </c>
      <c r="G247" s="9" t="s">
        <v>1634</v>
      </c>
      <c r="H247" s="9" t="s">
        <v>2767</v>
      </c>
      <c r="I247" s="9" t="s">
        <v>2768</v>
      </c>
      <c r="J247" s="9" t="s">
        <v>2769</v>
      </c>
      <c r="K247" s="9" t="s">
        <v>1638</v>
      </c>
      <c r="L247" s="9" t="s">
        <v>1639</v>
      </c>
      <c r="M247" s="9" t="s">
        <v>562</v>
      </c>
      <c r="N247" s="9" t="s">
        <v>1640</v>
      </c>
    </row>
    <row r="248" customFormat="false" ht="41.25" hidden="false" customHeight="true" outlineLevel="0" collapsed="false">
      <c r="A248" s="9" t="s">
        <v>2770</v>
      </c>
      <c r="B248" s="9" t="s">
        <v>1141</v>
      </c>
      <c r="C248" s="9" t="n">
        <v>2</v>
      </c>
      <c r="D248" s="9" t="s">
        <v>1631</v>
      </c>
      <c r="E248" s="9" t="s">
        <v>2771</v>
      </c>
      <c r="F248" s="9" t="s">
        <v>2772</v>
      </c>
      <c r="G248" s="9" t="s">
        <v>1634</v>
      </c>
      <c r="H248" s="9" t="s">
        <v>2773</v>
      </c>
      <c r="I248" s="9" t="s">
        <v>2774</v>
      </c>
      <c r="J248" s="9" t="s">
        <v>2769</v>
      </c>
      <c r="K248" s="9" t="s">
        <v>1638</v>
      </c>
      <c r="L248" s="9" t="s">
        <v>1639</v>
      </c>
      <c r="M248" s="9" t="s">
        <v>562</v>
      </c>
      <c r="N248" s="9" t="s">
        <v>1640</v>
      </c>
    </row>
    <row r="249" customFormat="false" ht="41.25" hidden="false" customHeight="true" outlineLevel="0" collapsed="false">
      <c r="A249" s="9" t="s">
        <v>2775</v>
      </c>
      <c r="B249" s="9" t="s">
        <v>1141</v>
      </c>
      <c r="C249" s="9" t="n">
        <v>3</v>
      </c>
      <c r="D249" s="9" t="s">
        <v>1631</v>
      </c>
      <c r="E249" s="9" t="s">
        <v>2776</v>
      </c>
      <c r="F249" s="9" t="s">
        <v>2777</v>
      </c>
      <c r="G249" s="9" t="s">
        <v>1634</v>
      </c>
      <c r="H249" s="9" t="s">
        <v>2778</v>
      </c>
      <c r="I249" s="9" t="s">
        <v>2779</v>
      </c>
      <c r="J249" s="9" t="s">
        <v>2769</v>
      </c>
      <c r="K249" s="9" t="s">
        <v>1638</v>
      </c>
      <c r="L249" s="9" t="s">
        <v>1639</v>
      </c>
      <c r="M249" s="9" t="s">
        <v>562</v>
      </c>
      <c r="N249" s="9" t="s">
        <v>1640</v>
      </c>
    </row>
    <row r="250" customFormat="false" ht="54.75" hidden="false" customHeight="true" outlineLevel="0" collapsed="false">
      <c r="A250" s="9" t="s">
        <v>2780</v>
      </c>
      <c r="B250" s="9" t="s">
        <v>1141</v>
      </c>
      <c r="C250" s="9" t="n">
        <v>4</v>
      </c>
      <c r="D250" s="9" t="s">
        <v>1652</v>
      </c>
      <c r="E250" s="9" t="s">
        <v>2758</v>
      </c>
      <c r="F250" s="9" t="s">
        <v>2759</v>
      </c>
      <c r="G250" s="9" t="s">
        <v>2781</v>
      </c>
      <c r="H250" s="9" t="s">
        <v>1667</v>
      </c>
      <c r="I250" s="9" t="s">
        <v>2433</v>
      </c>
      <c r="J250" s="9" t="s">
        <v>2782</v>
      </c>
      <c r="K250" s="9" t="s">
        <v>1659</v>
      </c>
      <c r="L250" s="9" t="s">
        <v>1660</v>
      </c>
      <c r="M250" s="9" t="s">
        <v>1661</v>
      </c>
      <c r="N250" s="9" t="s">
        <v>1662</v>
      </c>
    </row>
    <row r="251" customFormat="false" ht="54.75" hidden="false" customHeight="true" outlineLevel="0" collapsed="false">
      <c r="A251" s="9" t="s">
        <v>2783</v>
      </c>
      <c r="B251" s="9" t="s">
        <v>1141</v>
      </c>
      <c r="C251" s="9" t="n">
        <v>5</v>
      </c>
      <c r="D251" s="9" t="s">
        <v>1652</v>
      </c>
      <c r="E251" s="9" t="s">
        <v>2784</v>
      </c>
      <c r="F251" s="9" t="s">
        <v>2785</v>
      </c>
      <c r="G251" s="9" t="s">
        <v>1931</v>
      </c>
      <c r="H251" s="9" t="s">
        <v>1754</v>
      </c>
      <c r="I251" s="9" t="s">
        <v>2316</v>
      </c>
      <c r="J251" s="9" t="s">
        <v>2782</v>
      </c>
      <c r="K251" s="9" t="s">
        <v>1659</v>
      </c>
      <c r="L251" s="9" t="s">
        <v>1660</v>
      </c>
      <c r="M251" s="9" t="s">
        <v>1661</v>
      </c>
      <c r="N251" s="9" t="s">
        <v>1662</v>
      </c>
    </row>
    <row r="252" customFormat="false" ht="54.75" hidden="false" customHeight="true" outlineLevel="0" collapsed="false">
      <c r="A252" s="9" t="s">
        <v>2786</v>
      </c>
      <c r="B252" s="9" t="s">
        <v>1141</v>
      </c>
      <c r="C252" s="9" t="n">
        <v>6</v>
      </c>
      <c r="D252" s="9" t="s">
        <v>1652</v>
      </c>
      <c r="E252" s="9" t="s">
        <v>2787</v>
      </c>
      <c r="F252" s="9" t="s">
        <v>2788</v>
      </c>
      <c r="G252" s="9" t="s">
        <v>1931</v>
      </c>
      <c r="H252" s="9" t="s">
        <v>1754</v>
      </c>
      <c r="I252" s="9" t="s">
        <v>1886</v>
      </c>
      <c r="J252" s="9" t="s">
        <v>2782</v>
      </c>
      <c r="K252" s="9" t="s">
        <v>1659</v>
      </c>
      <c r="L252" s="9" t="s">
        <v>1660</v>
      </c>
      <c r="M252" s="9" t="s">
        <v>1661</v>
      </c>
      <c r="N252" s="9" t="s">
        <v>1662</v>
      </c>
    </row>
    <row r="253" customFormat="false" ht="41.25" hidden="false" customHeight="true" outlineLevel="0" collapsed="false">
      <c r="A253" s="9" t="s">
        <v>2789</v>
      </c>
      <c r="B253" s="9" t="s">
        <v>1141</v>
      </c>
      <c r="C253" s="9" t="n">
        <v>7</v>
      </c>
      <c r="D253" s="9" t="s">
        <v>1676</v>
      </c>
      <c r="E253" s="9" t="s">
        <v>1677</v>
      </c>
      <c r="F253" s="9" t="s">
        <v>2790</v>
      </c>
      <c r="G253" s="9" t="s">
        <v>1679</v>
      </c>
      <c r="H253" s="9" t="s">
        <v>1680</v>
      </c>
      <c r="I253" s="9" t="s">
        <v>2791</v>
      </c>
      <c r="J253" s="9" t="s">
        <v>2792</v>
      </c>
      <c r="K253" s="9" t="s">
        <v>1683</v>
      </c>
      <c r="L253" s="9" t="s">
        <v>1684</v>
      </c>
      <c r="M253" s="9" t="s">
        <v>1685</v>
      </c>
      <c r="N253" s="9" t="s">
        <v>1686</v>
      </c>
    </row>
    <row r="254" customFormat="false" ht="41.25" hidden="false" customHeight="true" outlineLevel="0" collapsed="false">
      <c r="A254" s="9" t="s">
        <v>2793</v>
      </c>
      <c r="B254" s="9" t="s">
        <v>1171</v>
      </c>
      <c r="C254" s="9" t="n">
        <v>1</v>
      </c>
      <c r="D254" s="9" t="s">
        <v>1631</v>
      </c>
      <c r="E254" s="9" t="s">
        <v>2794</v>
      </c>
      <c r="F254" s="9" t="s">
        <v>2795</v>
      </c>
      <c r="G254" s="9" t="s">
        <v>1634</v>
      </c>
      <c r="H254" s="9" t="s">
        <v>2796</v>
      </c>
      <c r="I254" s="9" t="s">
        <v>2797</v>
      </c>
      <c r="J254" s="9" t="s">
        <v>2798</v>
      </c>
      <c r="K254" s="9" t="s">
        <v>1638</v>
      </c>
      <c r="L254" s="9" t="s">
        <v>1639</v>
      </c>
      <c r="M254" s="9" t="s">
        <v>562</v>
      </c>
      <c r="N254" s="9" t="s">
        <v>1640</v>
      </c>
    </row>
    <row r="255" customFormat="false" ht="41.25" hidden="false" customHeight="true" outlineLevel="0" collapsed="false">
      <c r="A255" s="9" t="s">
        <v>2799</v>
      </c>
      <c r="B255" s="9" t="s">
        <v>1171</v>
      </c>
      <c r="C255" s="9" t="n">
        <v>2</v>
      </c>
      <c r="D255" s="9" t="s">
        <v>1631</v>
      </c>
      <c r="E255" s="9" t="s">
        <v>2800</v>
      </c>
      <c r="F255" s="9" t="s">
        <v>2801</v>
      </c>
      <c r="G255" s="9" t="s">
        <v>1634</v>
      </c>
      <c r="H255" s="9" t="s">
        <v>2802</v>
      </c>
      <c r="I255" s="9" t="s">
        <v>2803</v>
      </c>
      <c r="J255" s="9" t="s">
        <v>2798</v>
      </c>
      <c r="K255" s="9" t="s">
        <v>1638</v>
      </c>
      <c r="L255" s="9" t="s">
        <v>1639</v>
      </c>
      <c r="M255" s="9" t="s">
        <v>562</v>
      </c>
      <c r="N255" s="9" t="s">
        <v>1640</v>
      </c>
    </row>
    <row r="256" customFormat="false" ht="41.25" hidden="false" customHeight="true" outlineLevel="0" collapsed="false">
      <c r="A256" s="9" t="s">
        <v>2804</v>
      </c>
      <c r="B256" s="9" t="s">
        <v>1171</v>
      </c>
      <c r="C256" s="9" t="n">
        <v>3</v>
      </c>
      <c r="D256" s="9" t="s">
        <v>1631</v>
      </c>
      <c r="E256" s="9" t="s">
        <v>2805</v>
      </c>
      <c r="F256" s="9" t="s">
        <v>2806</v>
      </c>
      <c r="G256" s="9" t="s">
        <v>1634</v>
      </c>
      <c r="H256" s="9" t="s">
        <v>2807</v>
      </c>
      <c r="I256" s="9" t="s">
        <v>2808</v>
      </c>
      <c r="J256" s="9" t="s">
        <v>2798</v>
      </c>
      <c r="K256" s="9" t="s">
        <v>1638</v>
      </c>
      <c r="L256" s="9" t="s">
        <v>1639</v>
      </c>
      <c r="M256" s="9" t="s">
        <v>562</v>
      </c>
      <c r="N256" s="9" t="s">
        <v>1640</v>
      </c>
    </row>
    <row r="257" customFormat="false" ht="54.75" hidden="false" customHeight="true" outlineLevel="0" collapsed="false">
      <c r="A257" s="9" t="s">
        <v>2809</v>
      </c>
      <c r="B257" s="9" t="s">
        <v>1171</v>
      </c>
      <c r="C257" s="9" t="n">
        <v>4</v>
      </c>
      <c r="D257" s="9" t="s">
        <v>1652</v>
      </c>
      <c r="E257" s="9" t="s">
        <v>2810</v>
      </c>
      <c r="F257" s="9" t="s">
        <v>2811</v>
      </c>
      <c r="G257" s="9" t="s">
        <v>2163</v>
      </c>
      <c r="H257" s="9" t="s">
        <v>1667</v>
      </c>
      <c r="I257" s="9" t="s">
        <v>2812</v>
      </c>
      <c r="J257" s="9" t="s">
        <v>2813</v>
      </c>
      <c r="K257" s="9" t="s">
        <v>1659</v>
      </c>
      <c r="L257" s="9" t="s">
        <v>1660</v>
      </c>
      <c r="M257" s="9" t="s">
        <v>1661</v>
      </c>
      <c r="N257" s="9" t="s">
        <v>1662</v>
      </c>
    </row>
    <row r="258" customFormat="false" ht="54.75" hidden="false" customHeight="true" outlineLevel="0" collapsed="false">
      <c r="A258" s="9" t="s">
        <v>2814</v>
      </c>
      <c r="B258" s="9" t="s">
        <v>1171</v>
      </c>
      <c r="C258" s="9" t="n">
        <v>5</v>
      </c>
      <c r="D258" s="9" t="s">
        <v>1652</v>
      </c>
      <c r="E258" s="9" t="s">
        <v>2815</v>
      </c>
      <c r="F258" s="9" t="s">
        <v>2816</v>
      </c>
      <c r="G258" s="9" t="s">
        <v>2817</v>
      </c>
      <c r="H258" s="9" t="s">
        <v>1754</v>
      </c>
      <c r="I258" s="9" t="s">
        <v>2818</v>
      </c>
      <c r="J258" s="9" t="s">
        <v>2813</v>
      </c>
      <c r="K258" s="9" t="s">
        <v>1659</v>
      </c>
      <c r="L258" s="9" t="s">
        <v>1660</v>
      </c>
      <c r="M258" s="9" t="s">
        <v>1661</v>
      </c>
      <c r="N258" s="9" t="s">
        <v>1662</v>
      </c>
    </row>
    <row r="259" customFormat="false" ht="54.75" hidden="false" customHeight="true" outlineLevel="0" collapsed="false">
      <c r="A259" s="9" t="s">
        <v>2819</v>
      </c>
      <c r="B259" s="9" t="s">
        <v>1171</v>
      </c>
      <c r="C259" s="9" t="n">
        <v>6</v>
      </c>
      <c r="D259" s="9" t="s">
        <v>1652</v>
      </c>
      <c r="E259" s="9" t="s">
        <v>2820</v>
      </c>
      <c r="F259" s="9" t="s">
        <v>2821</v>
      </c>
      <c r="G259" s="9" t="s">
        <v>2163</v>
      </c>
      <c r="H259" s="9" t="s">
        <v>1667</v>
      </c>
      <c r="I259" s="9" t="s">
        <v>2433</v>
      </c>
      <c r="J259" s="9" t="s">
        <v>2813</v>
      </c>
      <c r="K259" s="9" t="s">
        <v>1659</v>
      </c>
      <c r="L259" s="9" t="s">
        <v>1660</v>
      </c>
      <c r="M259" s="9" t="s">
        <v>1661</v>
      </c>
      <c r="N259" s="9" t="s">
        <v>1662</v>
      </c>
    </row>
    <row r="260" customFormat="false" ht="41.25" hidden="false" customHeight="true" outlineLevel="0" collapsed="false">
      <c r="A260" s="9" t="s">
        <v>2822</v>
      </c>
      <c r="B260" s="9" t="s">
        <v>1171</v>
      </c>
      <c r="C260" s="9" t="n">
        <v>7</v>
      </c>
      <c r="D260" s="9" t="s">
        <v>1676</v>
      </c>
      <c r="E260" s="9" t="s">
        <v>1677</v>
      </c>
      <c r="F260" s="9" t="s">
        <v>2823</v>
      </c>
      <c r="G260" s="9" t="s">
        <v>1679</v>
      </c>
      <c r="H260" s="9" t="s">
        <v>1680</v>
      </c>
      <c r="I260" s="9" t="s">
        <v>2824</v>
      </c>
      <c r="J260" s="9" t="s">
        <v>2825</v>
      </c>
      <c r="K260" s="9" t="s">
        <v>1683</v>
      </c>
      <c r="L260" s="9" t="s">
        <v>1684</v>
      </c>
      <c r="M260" s="9" t="s">
        <v>1685</v>
      </c>
      <c r="N260" s="9" t="s">
        <v>1686</v>
      </c>
    </row>
    <row r="261" customFormat="false" ht="41.25" hidden="false" customHeight="true" outlineLevel="0" collapsed="false">
      <c r="A261" s="9" t="s">
        <v>2826</v>
      </c>
      <c r="B261" s="9" t="s">
        <v>1195</v>
      </c>
      <c r="C261" s="9" t="n">
        <v>1</v>
      </c>
      <c r="D261" s="9" t="s">
        <v>1631</v>
      </c>
      <c r="E261" s="9" t="s">
        <v>2827</v>
      </c>
      <c r="F261" s="9" t="s">
        <v>2828</v>
      </c>
      <c r="G261" s="9" t="s">
        <v>1634</v>
      </c>
      <c r="H261" s="9" t="s">
        <v>2829</v>
      </c>
      <c r="I261" s="9" t="s">
        <v>2830</v>
      </c>
      <c r="J261" s="9" t="s">
        <v>2831</v>
      </c>
      <c r="K261" s="9" t="s">
        <v>1638</v>
      </c>
      <c r="L261" s="9" t="s">
        <v>1639</v>
      </c>
      <c r="M261" s="9" t="s">
        <v>562</v>
      </c>
      <c r="N261" s="9" t="s">
        <v>1640</v>
      </c>
    </row>
    <row r="262" customFormat="false" ht="41.25" hidden="false" customHeight="true" outlineLevel="0" collapsed="false">
      <c r="A262" s="9" t="s">
        <v>2832</v>
      </c>
      <c r="B262" s="9" t="s">
        <v>1195</v>
      </c>
      <c r="C262" s="9" t="n">
        <v>2</v>
      </c>
      <c r="D262" s="9" t="s">
        <v>1631</v>
      </c>
      <c r="E262" s="9" t="s">
        <v>2833</v>
      </c>
      <c r="F262" s="9" t="s">
        <v>2834</v>
      </c>
      <c r="G262" s="9" t="s">
        <v>1634</v>
      </c>
      <c r="H262" s="9" t="s">
        <v>2835</v>
      </c>
      <c r="I262" s="9" t="s">
        <v>2836</v>
      </c>
      <c r="J262" s="9" t="s">
        <v>2831</v>
      </c>
      <c r="K262" s="9" t="s">
        <v>1638</v>
      </c>
      <c r="L262" s="9" t="s">
        <v>1639</v>
      </c>
      <c r="M262" s="9" t="s">
        <v>562</v>
      </c>
      <c r="N262" s="9" t="s">
        <v>1640</v>
      </c>
    </row>
    <row r="263" customFormat="false" ht="41.25" hidden="false" customHeight="true" outlineLevel="0" collapsed="false">
      <c r="A263" s="9" t="s">
        <v>2837</v>
      </c>
      <c r="B263" s="9" t="s">
        <v>1195</v>
      </c>
      <c r="C263" s="9" t="n">
        <v>3</v>
      </c>
      <c r="D263" s="9" t="s">
        <v>1631</v>
      </c>
      <c r="E263" s="9" t="s">
        <v>2838</v>
      </c>
      <c r="F263" s="9" t="s">
        <v>2839</v>
      </c>
      <c r="G263" s="9" t="s">
        <v>1634</v>
      </c>
      <c r="H263" s="9" t="s">
        <v>2840</v>
      </c>
      <c r="I263" s="9" t="s">
        <v>2841</v>
      </c>
      <c r="J263" s="9" t="s">
        <v>2831</v>
      </c>
      <c r="K263" s="9" t="s">
        <v>1638</v>
      </c>
      <c r="L263" s="9" t="s">
        <v>1639</v>
      </c>
      <c r="M263" s="9" t="s">
        <v>562</v>
      </c>
      <c r="N263" s="9" t="s">
        <v>1640</v>
      </c>
    </row>
    <row r="264" customFormat="false" ht="54.75" hidden="false" customHeight="true" outlineLevel="0" collapsed="false">
      <c r="A264" s="9" t="s">
        <v>2842</v>
      </c>
      <c r="B264" s="9" t="s">
        <v>1195</v>
      </c>
      <c r="C264" s="9" t="n">
        <v>4</v>
      </c>
      <c r="D264" s="9" t="s">
        <v>1652</v>
      </c>
      <c r="E264" s="9" t="s">
        <v>2843</v>
      </c>
      <c r="F264" s="9" t="s">
        <v>2844</v>
      </c>
      <c r="G264" s="9" t="s">
        <v>1931</v>
      </c>
      <c r="H264" s="9" t="s">
        <v>1713</v>
      </c>
      <c r="I264" s="9" t="s">
        <v>2433</v>
      </c>
      <c r="J264" s="9" t="s">
        <v>2845</v>
      </c>
      <c r="K264" s="9" t="s">
        <v>1659</v>
      </c>
      <c r="L264" s="9" t="s">
        <v>1660</v>
      </c>
      <c r="M264" s="9" t="s">
        <v>1661</v>
      </c>
      <c r="N264" s="9" t="s">
        <v>1662</v>
      </c>
    </row>
    <row r="265" customFormat="false" ht="54.75" hidden="false" customHeight="true" outlineLevel="0" collapsed="false">
      <c r="A265" s="9" t="s">
        <v>2846</v>
      </c>
      <c r="B265" s="9" t="s">
        <v>1195</v>
      </c>
      <c r="C265" s="9" t="n">
        <v>5</v>
      </c>
      <c r="D265" s="9" t="s">
        <v>1652</v>
      </c>
      <c r="E265" s="9" t="s">
        <v>2847</v>
      </c>
      <c r="F265" s="9" t="s">
        <v>2848</v>
      </c>
      <c r="G265" s="9" t="s">
        <v>2849</v>
      </c>
      <c r="H265" s="9" t="s">
        <v>1713</v>
      </c>
      <c r="I265" s="9" t="s">
        <v>2850</v>
      </c>
      <c r="J265" s="9" t="s">
        <v>2845</v>
      </c>
      <c r="K265" s="9" t="s">
        <v>1659</v>
      </c>
      <c r="L265" s="9" t="s">
        <v>1660</v>
      </c>
      <c r="M265" s="9" t="s">
        <v>1661</v>
      </c>
      <c r="N265" s="9" t="s">
        <v>1662</v>
      </c>
    </row>
    <row r="266" customFormat="false" ht="54.75" hidden="false" customHeight="true" outlineLevel="0" collapsed="false">
      <c r="A266" s="9" t="s">
        <v>2851</v>
      </c>
      <c r="B266" s="9" t="s">
        <v>1195</v>
      </c>
      <c r="C266" s="9" t="n">
        <v>6</v>
      </c>
      <c r="D266" s="9" t="s">
        <v>1652</v>
      </c>
      <c r="E266" s="9" t="s">
        <v>2408</v>
      </c>
      <c r="F266" s="9" t="s">
        <v>2409</v>
      </c>
      <c r="G266" s="9" t="s">
        <v>2129</v>
      </c>
      <c r="H266" s="9" t="s">
        <v>1673</v>
      </c>
      <c r="I266" s="9" t="s">
        <v>2852</v>
      </c>
      <c r="J266" s="9" t="s">
        <v>2845</v>
      </c>
      <c r="K266" s="9" t="s">
        <v>1659</v>
      </c>
      <c r="L266" s="9" t="s">
        <v>1660</v>
      </c>
      <c r="M266" s="9" t="s">
        <v>1661</v>
      </c>
      <c r="N266" s="9" t="s">
        <v>1662</v>
      </c>
    </row>
    <row r="267" customFormat="false" ht="41.25" hidden="false" customHeight="true" outlineLevel="0" collapsed="false">
      <c r="A267" s="9" t="s">
        <v>2853</v>
      </c>
      <c r="B267" s="9" t="s">
        <v>1195</v>
      </c>
      <c r="C267" s="9" t="n">
        <v>7</v>
      </c>
      <c r="D267" s="9" t="s">
        <v>1676</v>
      </c>
      <c r="E267" s="9" t="s">
        <v>1677</v>
      </c>
      <c r="F267" s="9" t="s">
        <v>2854</v>
      </c>
      <c r="G267" s="9" t="s">
        <v>1679</v>
      </c>
      <c r="H267" s="9" t="s">
        <v>1680</v>
      </c>
      <c r="I267" s="9" t="s">
        <v>2855</v>
      </c>
      <c r="J267" s="9" t="s">
        <v>2856</v>
      </c>
      <c r="K267" s="9" t="s">
        <v>1683</v>
      </c>
      <c r="L267" s="9" t="s">
        <v>1684</v>
      </c>
      <c r="M267" s="9" t="s">
        <v>1685</v>
      </c>
      <c r="N267" s="9" t="s">
        <v>1686</v>
      </c>
    </row>
    <row r="268" customFormat="false" ht="41.25" hidden="false" customHeight="true" outlineLevel="0" collapsed="false">
      <c r="A268" s="9" t="s">
        <v>2857</v>
      </c>
      <c r="B268" s="9" t="s">
        <v>1224</v>
      </c>
      <c r="C268" s="9" t="n">
        <v>1</v>
      </c>
      <c r="D268" s="9" t="s">
        <v>1631</v>
      </c>
      <c r="E268" s="9" t="s">
        <v>2858</v>
      </c>
      <c r="F268" s="9" t="s">
        <v>2859</v>
      </c>
      <c r="G268" s="9" t="s">
        <v>1634</v>
      </c>
      <c r="H268" s="9" t="s">
        <v>2860</v>
      </c>
      <c r="I268" s="9" t="s">
        <v>2861</v>
      </c>
      <c r="J268" s="9" t="s">
        <v>2862</v>
      </c>
      <c r="K268" s="9" t="s">
        <v>1638</v>
      </c>
      <c r="L268" s="9" t="s">
        <v>1639</v>
      </c>
      <c r="M268" s="9" t="s">
        <v>562</v>
      </c>
      <c r="N268" s="9" t="s">
        <v>1640</v>
      </c>
    </row>
    <row r="269" customFormat="false" ht="41.25" hidden="false" customHeight="true" outlineLevel="0" collapsed="false">
      <c r="A269" s="9" t="s">
        <v>2863</v>
      </c>
      <c r="B269" s="9" t="s">
        <v>1224</v>
      </c>
      <c r="C269" s="9" t="n">
        <v>2</v>
      </c>
      <c r="D269" s="9" t="s">
        <v>1631</v>
      </c>
      <c r="E269" s="9" t="s">
        <v>2805</v>
      </c>
      <c r="F269" s="9" t="s">
        <v>2806</v>
      </c>
      <c r="G269" s="9" t="s">
        <v>1634</v>
      </c>
      <c r="H269" s="9" t="s">
        <v>2864</v>
      </c>
      <c r="I269" s="9" t="s">
        <v>2865</v>
      </c>
      <c r="J269" s="9" t="s">
        <v>2862</v>
      </c>
      <c r="K269" s="9" t="s">
        <v>1638</v>
      </c>
      <c r="L269" s="9" t="s">
        <v>1639</v>
      </c>
      <c r="M269" s="9" t="s">
        <v>562</v>
      </c>
      <c r="N269" s="9" t="s">
        <v>1640</v>
      </c>
    </row>
    <row r="270" customFormat="false" ht="41.25" hidden="false" customHeight="true" outlineLevel="0" collapsed="false">
      <c r="A270" s="9" t="s">
        <v>2866</v>
      </c>
      <c r="B270" s="9" t="s">
        <v>1224</v>
      </c>
      <c r="C270" s="9" t="n">
        <v>3</v>
      </c>
      <c r="D270" s="9" t="s">
        <v>1631</v>
      </c>
      <c r="E270" s="9" t="s">
        <v>2867</v>
      </c>
      <c r="F270" s="9" t="s">
        <v>2868</v>
      </c>
      <c r="G270" s="9" t="s">
        <v>1634</v>
      </c>
      <c r="H270" s="9" t="s">
        <v>2290</v>
      </c>
      <c r="I270" s="9" t="s">
        <v>2291</v>
      </c>
      <c r="J270" s="9" t="s">
        <v>2862</v>
      </c>
      <c r="K270" s="9" t="s">
        <v>1638</v>
      </c>
      <c r="L270" s="9" t="s">
        <v>1639</v>
      </c>
      <c r="M270" s="9" t="s">
        <v>562</v>
      </c>
      <c r="N270" s="9" t="s">
        <v>1640</v>
      </c>
    </row>
    <row r="271" customFormat="false" ht="54.75" hidden="false" customHeight="true" outlineLevel="0" collapsed="false">
      <c r="A271" s="9" t="s">
        <v>2869</v>
      </c>
      <c r="B271" s="9" t="s">
        <v>1224</v>
      </c>
      <c r="C271" s="9" t="n">
        <v>4</v>
      </c>
      <c r="D271" s="9" t="s">
        <v>1652</v>
      </c>
      <c r="E271" s="9" t="s">
        <v>2751</v>
      </c>
      <c r="F271" s="9" t="s">
        <v>2752</v>
      </c>
      <c r="G271" s="9" t="s">
        <v>1931</v>
      </c>
      <c r="H271" s="9" t="s">
        <v>1754</v>
      </c>
      <c r="I271" s="9" t="s">
        <v>2870</v>
      </c>
      <c r="J271" s="9" t="s">
        <v>2871</v>
      </c>
      <c r="K271" s="9" t="s">
        <v>1659</v>
      </c>
      <c r="L271" s="9" t="s">
        <v>1660</v>
      </c>
      <c r="M271" s="9" t="s">
        <v>1661</v>
      </c>
      <c r="N271" s="9" t="s">
        <v>1662</v>
      </c>
    </row>
    <row r="272" customFormat="false" ht="54.75" hidden="false" customHeight="true" outlineLevel="0" collapsed="false">
      <c r="A272" s="9" t="s">
        <v>2872</v>
      </c>
      <c r="B272" s="9" t="s">
        <v>1224</v>
      </c>
      <c r="C272" s="9" t="n">
        <v>5</v>
      </c>
      <c r="D272" s="9" t="s">
        <v>1652</v>
      </c>
      <c r="E272" s="9" t="s">
        <v>2873</v>
      </c>
      <c r="F272" s="9" t="s">
        <v>2874</v>
      </c>
      <c r="G272" s="9" t="s">
        <v>2817</v>
      </c>
      <c r="H272" s="9" t="s">
        <v>1754</v>
      </c>
      <c r="I272" s="9" t="s">
        <v>1961</v>
      </c>
      <c r="J272" s="9" t="s">
        <v>2871</v>
      </c>
      <c r="K272" s="9" t="s">
        <v>1659</v>
      </c>
      <c r="L272" s="9" t="s">
        <v>1660</v>
      </c>
      <c r="M272" s="9" t="s">
        <v>1661</v>
      </c>
      <c r="N272" s="9" t="s">
        <v>1662</v>
      </c>
    </row>
    <row r="273" customFormat="false" ht="54.75" hidden="false" customHeight="true" outlineLevel="0" collapsed="false">
      <c r="A273" s="9" t="s">
        <v>2875</v>
      </c>
      <c r="B273" s="9" t="s">
        <v>1224</v>
      </c>
      <c r="C273" s="9" t="n">
        <v>6</v>
      </c>
      <c r="D273" s="9" t="s">
        <v>1652</v>
      </c>
      <c r="E273" s="9" t="s">
        <v>2876</v>
      </c>
      <c r="F273" s="9" t="s">
        <v>2877</v>
      </c>
      <c r="G273" s="9" t="s">
        <v>1931</v>
      </c>
      <c r="H273" s="9" t="s">
        <v>1754</v>
      </c>
      <c r="I273" s="9" t="s">
        <v>2878</v>
      </c>
      <c r="J273" s="9" t="s">
        <v>2871</v>
      </c>
      <c r="K273" s="9" t="s">
        <v>1659</v>
      </c>
      <c r="L273" s="9" t="s">
        <v>1660</v>
      </c>
      <c r="M273" s="9" t="s">
        <v>1661</v>
      </c>
      <c r="N273" s="9" t="s">
        <v>1662</v>
      </c>
    </row>
    <row r="274" customFormat="false" ht="41.25" hidden="false" customHeight="true" outlineLevel="0" collapsed="false">
      <c r="A274" s="9" t="s">
        <v>2879</v>
      </c>
      <c r="B274" s="9" t="s">
        <v>1224</v>
      </c>
      <c r="C274" s="9" t="n">
        <v>7</v>
      </c>
      <c r="D274" s="9" t="s">
        <v>1676</v>
      </c>
      <c r="E274" s="9" t="s">
        <v>1677</v>
      </c>
      <c r="F274" s="9" t="s">
        <v>2880</v>
      </c>
      <c r="G274" s="9" t="s">
        <v>1679</v>
      </c>
      <c r="H274" s="9" t="s">
        <v>1680</v>
      </c>
      <c r="I274" s="9" t="s">
        <v>2881</v>
      </c>
      <c r="J274" s="9" t="s">
        <v>2882</v>
      </c>
      <c r="K274" s="9" t="s">
        <v>1683</v>
      </c>
      <c r="L274" s="9" t="s">
        <v>1684</v>
      </c>
      <c r="M274" s="9" t="s">
        <v>1685</v>
      </c>
      <c r="N274" s="9" t="s">
        <v>1686</v>
      </c>
    </row>
    <row r="275" customFormat="false" ht="41.25" hidden="false" customHeight="true" outlineLevel="0" collapsed="false">
      <c r="A275" s="9" t="s">
        <v>2883</v>
      </c>
      <c r="B275" s="9" t="s">
        <v>1251</v>
      </c>
      <c r="C275" s="9" t="n">
        <v>1</v>
      </c>
      <c r="D275" s="9" t="s">
        <v>1631</v>
      </c>
      <c r="E275" s="9" t="s">
        <v>2884</v>
      </c>
      <c r="F275" s="9" t="s">
        <v>2885</v>
      </c>
      <c r="G275" s="9" t="s">
        <v>1634</v>
      </c>
      <c r="H275" s="9" t="s">
        <v>2886</v>
      </c>
      <c r="I275" s="9" t="s">
        <v>2887</v>
      </c>
      <c r="J275" s="9" t="s">
        <v>2888</v>
      </c>
      <c r="K275" s="9" t="s">
        <v>1638</v>
      </c>
      <c r="L275" s="9" t="s">
        <v>1639</v>
      </c>
      <c r="M275" s="9" t="s">
        <v>562</v>
      </c>
      <c r="N275" s="9" t="s">
        <v>1640</v>
      </c>
    </row>
    <row r="276" customFormat="false" ht="41.25" hidden="false" customHeight="true" outlineLevel="0" collapsed="false">
      <c r="A276" s="9" t="s">
        <v>2889</v>
      </c>
      <c r="B276" s="9" t="s">
        <v>1251</v>
      </c>
      <c r="C276" s="9" t="n">
        <v>2</v>
      </c>
      <c r="D276" s="9" t="s">
        <v>1631</v>
      </c>
      <c r="E276" s="9" t="s">
        <v>2890</v>
      </c>
      <c r="F276" s="9" t="s">
        <v>2891</v>
      </c>
      <c r="G276" s="9" t="s">
        <v>1634</v>
      </c>
      <c r="H276" s="9" t="s">
        <v>2892</v>
      </c>
      <c r="I276" s="9" t="s">
        <v>2893</v>
      </c>
      <c r="J276" s="9" t="s">
        <v>2888</v>
      </c>
      <c r="K276" s="9" t="s">
        <v>1638</v>
      </c>
      <c r="L276" s="9" t="s">
        <v>1639</v>
      </c>
      <c r="M276" s="9" t="s">
        <v>562</v>
      </c>
      <c r="N276" s="9" t="s">
        <v>1640</v>
      </c>
    </row>
    <row r="277" customFormat="false" ht="41.25" hidden="false" customHeight="true" outlineLevel="0" collapsed="false">
      <c r="A277" s="9" t="s">
        <v>2894</v>
      </c>
      <c r="B277" s="9" t="s">
        <v>1251</v>
      </c>
      <c r="C277" s="9" t="n">
        <v>3</v>
      </c>
      <c r="D277" s="9" t="s">
        <v>1631</v>
      </c>
      <c r="E277" s="9" t="s">
        <v>2895</v>
      </c>
      <c r="F277" s="9" t="s">
        <v>2896</v>
      </c>
      <c r="G277" s="9" t="s">
        <v>1634</v>
      </c>
      <c r="H277" s="9" t="s">
        <v>2897</v>
      </c>
      <c r="I277" s="9" t="s">
        <v>2898</v>
      </c>
      <c r="J277" s="9" t="s">
        <v>2888</v>
      </c>
      <c r="K277" s="9" t="s">
        <v>1638</v>
      </c>
      <c r="L277" s="9" t="s">
        <v>1639</v>
      </c>
      <c r="M277" s="9" t="s">
        <v>562</v>
      </c>
      <c r="N277" s="9" t="s">
        <v>1640</v>
      </c>
    </row>
    <row r="278" customFormat="false" ht="54.75" hidden="false" customHeight="true" outlineLevel="0" collapsed="false">
      <c r="A278" s="9" t="s">
        <v>2899</v>
      </c>
      <c r="B278" s="9" t="s">
        <v>1251</v>
      </c>
      <c r="C278" s="9" t="n">
        <v>4</v>
      </c>
      <c r="D278" s="9" t="s">
        <v>1652</v>
      </c>
      <c r="E278" s="9" t="s">
        <v>2900</v>
      </c>
      <c r="F278" s="9" t="s">
        <v>2901</v>
      </c>
      <c r="G278" s="9" t="s">
        <v>2781</v>
      </c>
      <c r="H278" s="9" t="s">
        <v>1713</v>
      </c>
      <c r="I278" s="9" t="s">
        <v>2706</v>
      </c>
      <c r="J278" s="9" t="s">
        <v>2902</v>
      </c>
      <c r="K278" s="9" t="s">
        <v>1659</v>
      </c>
      <c r="L278" s="9" t="s">
        <v>1660</v>
      </c>
      <c r="M278" s="9" t="s">
        <v>1661</v>
      </c>
      <c r="N278" s="9" t="s">
        <v>1662</v>
      </c>
    </row>
    <row r="279" customFormat="false" ht="54.75" hidden="false" customHeight="true" outlineLevel="0" collapsed="false">
      <c r="A279" s="9" t="s">
        <v>2903</v>
      </c>
      <c r="B279" s="9" t="s">
        <v>1251</v>
      </c>
      <c r="C279" s="9" t="n">
        <v>5</v>
      </c>
      <c r="D279" s="9" t="s">
        <v>1652</v>
      </c>
      <c r="E279" s="9" t="s">
        <v>2904</v>
      </c>
      <c r="F279" s="9" t="s">
        <v>2905</v>
      </c>
      <c r="G279" s="9" t="s">
        <v>1931</v>
      </c>
      <c r="H279" s="9" t="s">
        <v>1754</v>
      </c>
      <c r="I279" s="9" t="s">
        <v>1961</v>
      </c>
      <c r="J279" s="9" t="s">
        <v>2902</v>
      </c>
      <c r="K279" s="9" t="s">
        <v>1659</v>
      </c>
      <c r="L279" s="9" t="s">
        <v>1660</v>
      </c>
      <c r="M279" s="9" t="s">
        <v>1661</v>
      </c>
      <c r="N279" s="9" t="s">
        <v>1662</v>
      </c>
    </row>
    <row r="280" customFormat="false" ht="54.75" hidden="false" customHeight="true" outlineLevel="0" collapsed="false">
      <c r="A280" s="9" t="s">
        <v>2906</v>
      </c>
      <c r="B280" s="9" t="s">
        <v>1251</v>
      </c>
      <c r="C280" s="9" t="n">
        <v>6</v>
      </c>
      <c r="D280" s="9" t="s">
        <v>1652</v>
      </c>
      <c r="E280" s="9" t="s">
        <v>2907</v>
      </c>
      <c r="F280" s="9" t="s">
        <v>2908</v>
      </c>
      <c r="G280" s="9" t="s">
        <v>1931</v>
      </c>
      <c r="H280" s="9" t="s">
        <v>1754</v>
      </c>
      <c r="I280" s="9" t="s">
        <v>2878</v>
      </c>
      <c r="J280" s="9" t="s">
        <v>2902</v>
      </c>
      <c r="K280" s="9" t="s">
        <v>1659</v>
      </c>
      <c r="L280" s="9" t="s">
        <v>1660</v>
      </c>
      <c r="M280" s="9" t="s">
        <v>1661</v>
      </c>
      <c r="N280" s="9" t="s">
        <v>1662</v>
      </c>
    </row>
    <row r="281" customFormat="false" ht="41.25" hidden="false" customHeight="true" outlineLevel="0" collapsed="false">
      <c r="A281" s="9" t="s">
        <v>2909</v>
      </c>
      <c r="B281" s="9" t="s">
        <v>1251</v>
      </c>
      <c r="C281" s="9" t="n">
        <v>7</v>
      </c>
      <c r="D281" s="9" t="s">
        <v>1676</v>
      </c>
      <c r="E281" s="9" t="s">
        <v>1677</v>
      </c>
      <c r="F281" s="9" t="s">
        <v>2910</v>
      </c>
      <c r="G281" s="9" t="s">
        <v>1679</v>
      </c>
      <c r="H281" s="9" t="s">
        <v>1680</v>
      </c>
      <c r="I281" s="9" t="s">
        <v>2911</v>
      </c>
      <c r="J281" s="9" t="s">
        <v>2912</v>
      </c>
      <c r="K281" s="9" t="s">
        <v>1683</v>
      </c>
      <c r="L281" s="9" t="s">
        <v>1684</v>
      </c>
      <c r="M281" s="9" t="s">
        <v>1685</v>
      </c>
      <c r="N281" s="9" t="s">
        <v>1686</v>
      </c>
    </row>
    <row r="282" customFormat="false" ht="41.25" hidden="false" customHeight="true" outlineLevel="0" collapsed="false">
      <c r="A282" s="9" t="s">
        <v>2913</v>
      </c>
      <c r="B282" s="9" t="s">
        <v>1280</v>
      </c>
      <c r="C282" s="9" t="n">
        <v>1</v>
      </c>
      <c r="D282" s="9" t="s">
        <v>1631</v>
      </c>
      <c r="E282" s="9" t="s">
        <v>2599</v>
      </c>
      <c r="F282" s="9" t="s">
        <v>2600</v>
      </c>
      <c r="G282" s="9" t="s">
        <v>1634</v>
      </c>
      <c r="H282" s="9" t="s">
        <v>2601</v>
      </c>
      <c r="I282" s="9" t="s">
        <v>2602</v>
      </c>
      <c r="J282" s="9" t="s">
        <v>2914</v>
      </c>
      <c r="K282" s="9" t="s">
        <v>1638</v>
      </c>
      <c r="L282" s="9" t="s">
        <v>1639</v>
      </c>
      <c r="M282" s="9" t="s">
        <v>562</v>
      </c>
      <c r="N282" s="9" t="s">
        <v>1640</v>
      </c>
    </row>
    <row r="283" customFormat="false" ht="41.25" hidden="false" customHeight="true" outlineLevel="0" collapsed="false">
      <c r="A283" s="9" t="s">
        <v>2915</v>
      </c>
      <c r="B283" s="9" t="s">
        <v>1280</v>
      </c>
      <c r="C283" s="9" t="n">
        <v>2</v>
      </c>
      <c r="D283" s="9" t="s">
        <v>1631</v>
      </c>
      <c r="E283" s="9" t="s">
        <v>2916</v>
      </c>
      <c r="F283" s="9" t="s">
        <v>2917</v>
      </c>
      <c r="G283" s="9" t="s">
        <v>1634</v>
      </c>
      <c r="H283" s="9" t="s">
        <v>2918</v>
      </c>
      <c r="I283" s="9" t="s">
        <v>2919</v>
      </c>
      <c r="J283" s="9" t="s">
        <v>2914</v>
      </c>
      <c r="K283" s="9" t="s">
        <v>1638</v>
      </c>
      <c r="L283" s="9" t="s">
        <v>1639</v>
      </c>
      <c r="M283" s="9" t="s">
        <v>562</v>
      </c>
      <c r="N283" s="9" t="s">
        <v>1640</v>
      </c>
    </row>
    <row r="284" customFormat="false" ht="41.25" hidden="false" customHeight="true" outlineLevel="0" collapsed="false">
      <c r="A284" s="9" t="s">
        <v>2920</v>
      </c>
      <c r="B284" s="9" t="s">
        <v>1280</v>
      </c>
      <c r="C284" s="9" t="n">
        <v>3</v>
      </c>
      <c r="D284" s="9" t="s">
        <v>1631</v>
      </c>
      <c r="E284" s="9" t="s">
        <v>2610</v>
      </c>
      <c r="F284" s="9" t="s">
        <v>2611</v>
      </c>
      <c r="G284" s="9" t="s">
        <v>1634</v>
      </c>
      <c r="H284" s="9" t="s">
        <v>2612</v>
      </c>
      <c r="I284" s="9" t="s">
        <v>2613</v>
      </c>
      <c r="J284" s="9" t="s">
        <v>2914</v>
      </c>
      <c r="K284" s="9" t="s">
        <v>1638</v>
      </c>
      <c r="L284" s="9" t="s">
        <v>1639</v>
      </c>
      <c r="M284" s="9" t="s">
        <v>562</v>
      </c>
      <c r="N284" s="9" t="s">
        <v>1640</v>
      </c>
    </row>
    <row r="285" customFormat="false" ht="54.75" hidden="false" customHeight="true" outlineLevel="0" collapsed="false">
      <c r="A285" s="9" t="s">
        <v>2921</v>
      </c>
      <c r="B285" s="9" t="s">
        <v>1280</v>
      </c>
      <c r="C285" s="9" t="n">
        <v>4</v>
      </c>
      <c r="D285" s="9" t="s">
        <v>1652</v>
      </c>
      <c r="E285" s="9" t="s">
        <v>1993</v>
      </c>
      <c r="F285" s="9" t="s">
        <v>1994</v>
      </c>
      <c r="G285" s="9" t="s">
        <v>2066</v>
      </c>
      <c r="H285" s="9" t="s">
        <v>1656</v>
      </c>
      <c r="I285" s="9" t="s">
        <v>2615</v>
      </c>
      <c r="J285" s="9" t="s">
        <v>2922</v>
      </c>
      <c r="K285" s="9" t="s">
        <v>1659</v>
      </c>
      <c r="L285" s="9" t="s">
        <v>1660</v>
      </c>
      <c r="M285" s="9" t="s">
        <v>1661</v>
      </c>
      <c r="N285" s="9" t="s">
        <v>1662</v>
      </c>
    </row>
    <row r="286" customFormat="false" ht="54.75" hidden="false" customHeight="true" outlineLevel="0" collapsed="false">
      <c r="A286" s="9" t="s">
        <v>2923</v>
      </c>
      <c r="B286" s="9" t="s">
        <v>1280</v>
      </c>
      <c r="C286" s="9" t="n">
        <v>5</v>
      </c>
      <c r="D286" s="9" t="s">
        <v>1652</v>
      </c>
      <c r="E286" s="9" t="s">
        <v>2924</v>
      </c>
      <c r="F286" s="9" t="s">
        <v>2925</v>
      </c>
      <c r="G286" s="9" t="s">
        <v>1931</v>
      </c>
      <c r="H286" s="9" t="s">
        <v>1754</v>
      </c>
      <c r="I286" s="9" t="s">
        <v>2706</v>
      </c>
      <c r="J286" s="9" t="s">
        <v>2922</v>
      </c>
      <c r="K286" s="9" t="s">
        <v>1659</v>
      </c>
      <c r="L286" s="9" t="s">
        <v>1660</v>
      </c>
      <c r="M286" s="9" t="s">
        <v>1661</v>
      </c>
      <c r="N286" s="9" t="s">
        <v>1662</v>
      </c>
    </row>
    <row r="287" customFormat="false" ht="54.75" hidden="false" customHeight="true" outlineLevel="0" collapsed="false">
      <c r="A287" s="9" t="s">
        <v>2926</v>
      </c>
      <c r="B287" s="9" t="s">
        <v>1280</v>
      </c>
      <c r="C287" s="9" t="n">
        <v>6</v>
      </c>
      <c r="D287" s="9" t="s">
        <v>1652</v>
      </c>
      <c r="E287" s="9" t="s">
        <v>2374</v>
      </c>
      <c r="F287" s="9" t="s">
        <v>2375</v>
      </c>
      <c r="G287" s="9" t="s">
        <v>1931</v>
      </c>
      <c r="H287" s="9" t="s">
        <v>1754</v>
      </c>
      <c r="I287" s="9" t="s">
        <v>2927</v>
      </c>
      <c r="J287" s="9" t="s">
        <v>2922</v>
      </c>
      <c r="K287" s="9" t="s">
        <v>1659</v>
      </c>
      <c r="L287" s="9" t="s">
        <v>1660</v>
      </c>
      <c r="M287" s="9" t="s">
        <v>1661</v>
      </c>
      <c r="N287" s="9" t="s">
        <v>1662</v>
      </c>
    </row>
    <row r="288" customFormat="false" ht="41.25" hidden="false" customHeight="true" outlineLevel="0" collapsed="false">
      <c r="A288" s="9" t="s">
        <v>2928</v>
      </c>
      <c r="B288" s="9" t="s">
        <v>1280</v>
      </c>
      <c r="C288" s="9" t="n">
        <v>7</v>
      </c>
      <c r="D288" s="9" t="s">
        <v>1676</v>
      </c>
      <c r="E288" s="9" t="s">
        <v>1677</v>
      </c>
      <c r="F288" s="9" t="s">
        <v>2929</v>
      </c>
      <c r="G288" s="9" t="s">
        <v>1679</v>
      </c>
      <c r="H288" s="9" t="s">
        <v>1680</v>
      </c>
      <c r="I288" s="9" t="s">
        <v>2930</v>
      </c>
      <c r="J288" s="9" t="s">
        <v>2931</v>
      </c>
      <c r="K288" s="9" t="s">
        <v>1683</v>
      </c>
      <c r="L288" s="9" t="s">
        <v>1684</v>
      </c>
      <c r="M288" s="9" t="s">
        <v>1685</v>
      </c>
      <c r="N288" s="9" t="s">
        <v>1686</v>
      </c>
    </row>
    <row r="289" customFormat="false" ht="41.25" hidden="false" customHeight="true" outlineLevel="0" collapsed="false">
      <c r="A289" s="9" t="s">
        <v>2932</v>
      </c>
      <c r="B289" s="9" t="s">
        <v>1304</v>
      </c>
      <c r="C289" s="9" t="n">
        <v>1</v>
      </c>
      <c r="D289" s="9" t="s">
        <v>1631</v>
      </c>
      <c r="E289" s="9" t="s">
        <v>2933</v>
      </c>
      <c r="F289" s="9" t="s">
        <v>2934</v>
      </c>
      <c r="G289" s="9" t="s">
        <v>1634</v>
      </c>
      <c r="H289" s="9" t="s">
        <v>2935</v>
      </c>
      <c r="I289" s="9" t="s">
        <v>2936</v>
      </c>
      <c r="J289" s="9" t="s">
        <v>2937</v>
      </c>
      <c r="K289" s="9" t="s">
        <v>1638</v>
      </c>
      <c r="L289" s="9" t="s">
        <v>1639</v>
      </c>
      <c r="M289" s="9" t="s">
        <v>562</v>
      </c>
      <c r="N289" s="9" t="s">
        <v>1640</v>
      </c>
    </row>
    <row r="290" customFormat="false" ht="41.25" hidden="false" customHeight="true" outlineLevel="0" collapsed="false">
      <c r="A290" s="9" t="s">
        <v>2938</v>
      </c>
      <c r="B290" s="9" t="s">
        <v>1304</v>
      </c>
      <c r="C290" s="9" t="n">
        <v>2</v>
      </c>
      <c r="D290" s="9" t="s">
        <v>1631</v>
      </c>
      <c r="E290" s="9" t="s">
        <v>2939</v>
      </c>
      <c r="F290" s="9" t="s">
        <v>2940</v>
      </c>
      <c r="G290" s="9" t="s">
        <v>1634</v>
      </c>
      <c r="H290" s="9" t="s">
        <v>2941</v>
      </c>
      <c r="I290" s="9" t="s">
        <v>2942</v>
      </c>
      <c r="J290" s="9" t="s">
        <v>2937</v>
      </c>
      <c r="K290" s="9" t="s">
        <v>1638</v>
      </c>
      <c r="L290" s="9" t="s">
        <v>1639</v>
      </c>
      <c r="M290" s="9" t="s">
        <v>562</v>
      </c>
      <c r="N290" s="9" t="s">
        <v>1640</v>
      </c>
    </row>
    <row r="291" customFormat="false" ht="41.25" hidden="false" customHeight="true" outlineLevel="0" collapsed="false">
      <c r="A291" s="9" t="s">
        <v>2943</v>
      </c>
      <c r="B291" s="9" t="s">
        <v>1304</v>
      </c>
      <c r="C291" s="9" t="n">
        <v>3</v>
      </c>
      <c r="D291" s="9" t="s">
        <v>1631</v>
      </c>
      <c r="E291" s="9" t="s">
        <v>2827</v>
      </c>
      <c r="F291" s="9" t="s">
        <v>2828</v>
      </c>
      <c r="G291" s="9" t="s">
        <v>1634</v>
      </c>
      <c r="H291" s="9" t="s">
        <v>2324</v>
      </c>
      <c r="I291" s="9" t="s">
        <v>2325</v>
      </c>
      <c r="J291" s="9" t="s">
        <v>2937</v>
      </c>
      <c r="K291" s="9" t="s">
        <v>1638</v>
      </c>
      <c r="L291" s="9" t="s">
        <v>1639</v>
      </c>
      <c r="M291" s="9" t="s">
        <v>562</v>
      </c>
      <c r="N291" s="9" t="s">
        <v>1640</v>
      </c>
    </row>
    <row r="292" customFormat="false" ht="54.75" hidden="false" customHeight="true" outlineLevel="0" collapsed="false">
      <c r="A292" s="9" t="s">
        <v>2944</v>
      </c>
      <c r="B292" s="9" t="s">
        <v>1304</v>
      </c>
      <c r="C292" s="9" t="n">
        <v>4</v>
      </c>
      <c r="D292" s="9" t="s">
        <v>1652</v>
      </c>
      <c r="E292" s="9" t="s">
        <v>2843</v>
      </c>
      <c r="F292" s="9" t="s">
        <v>2844</v>
      </c>
      <c r="G292" s="9" t="s">
        <v>1931</v>
      </c>
      <c r="H292" s="9" t="s">
        <v>1713</v>
      </c>
      <c r="I292" s="9" t="s">
        <v>2945</v>
      </c>
      <c r="J292" s="9" t="s">
        <v>2946</v>
      </c>
      <c r="K292" s="9" t="s">
        <v>1659</v>
      </c>
      <c r="L292" s="9" t="s">
        <v>1660</v>
      </c>
      <c r="M292" s="9" t="s">
        <v>1661</v>
      </c>
      <c r="N292" s="9" t="s">
        <v>1662</v>
      </c>
    </row>
    <row r="293" customFormat="false" ht="54.75" hidden="false" customHeight="true" outlineLevel="0" collapsed="false">
      <c r="A293" s="9" t="s">
        <v>2947</v>
      </c>
      <c r="B293" s="9" t="s">
        <v>1304</v>
      </c>
      <c r="C293" s="9" t="n">
        <v>5</v>
      </c>
      <c r="D293" s="9" t="s">
        <v>1652</v>
      </c>
      <c r="E293" s="9" t="s">
        <v>2948</v>
      </c>
      <c r="F293" s="9" t="s">
        <v>2949</v>
      </c>
      <c r="G293" s="9" t="s">
        <v>2849</v>
      </c>
      <c r="H293" s="9" t="s">
        <v>1713</v>
      </c>
      <c r="I293" s="9" t="s">
        <v>2950</v>
      </c>
      <c r="J293" s="9" t="s">
        <v>2946</v>
      </c>
      <c r="K293" s="9" t="s">
        <v>1659</v>
      </c>
      <c r="L293" s="9" t="s">
        <v>1660</v>
      </c>
      <c r="M293" s="9" t="s">
        <v>1661</v>
      </c>
      <c r="N293" s="9" t="s">
        <v>1662</v>
      </c>
    </row>
    <row r="294" customFormat="false" ht="54.75" hidden="false" customHeight="true" outlineLevel="0" collapsed="false">
      <c r="A294" s="9" t="s">
        <v>2951</v>
      </c>
      <c r="B294" s="9" t="s">
        <v>1304</v>
      </c>
      <c r="C294" s="9" t="n">
        <v>6</v>
      </c>
      <c r="D294" s="9" t="s">
        <v>1652</v>
      </c>
      <c r="E294" s="9" t="s">
        <v>2217</v>
      </c>
      <c r="F294" s="9" t="s">
        <v>2218</v>
      </c>
      <c r="G294" s="9" t="s">
        <v>2849</v>
      </c>
      <c r="H294" s="9" t="s">
        <v>1713</v>
      </c>
      <c r="I294" s="9" t="s">
        <v>2952</v>
      </c>
      <c r="J294" s="9" t="s">
        <v>2946</v>
      </c>
      <c r="K294" s="9" t="s">
        <v>1659</v>
      </c>
      <c r="L294" s="9" t="s">
        <v>1660</v>
      </c>
      <c r="M294" s="9" t="s">
        <v>1661</v>
      </c>
      <c r="N294" s="9" t="s">
        <v>1662</v>
      </c>
    </row>
    <row r="295" customFormat="false" ht="41.25" hidden="false" customHeight="true" outlineLevel="0" collapsed="false">
      <c r="A295" s="9" t="s">
        <v>2953</v>
      </c>
      <c r="B295" s="9" t="s">
        <v>1304</v>
      </c>
      <c r="C295" s="9" t="n">
        <v>7</v>
      </c>
      <c r="D295" s="9" t="s">
        <v>1676</v>
      </c>
      <c r="E295" s="9" t="s">
        <v>1677</v>
      </c>
      <c r="F295" s="9" t="s">
        <v>2954</v>
      </c>
      <c r="G295" s="9" t="s">
        <v>1679</v>
      </c>
      <c r="H295" s="9" t="s">
        <v>1680</v>
      </c>
      <c r="I295" s="9" t="s">
        <v>2955</v>
      </c>
      <c r="J295" s="9" t="s">
        <v>2956</v>
      </c>
      <c r="K295" s="9" t="s">
        <v>1683</v>
      </c>
      <c r="L295" s="9" t="s">
        <v>1684</v>
      </c>
      <c r="M295" s="9" t="s">
        <v>1685</v>
      </c>
      <c r="N295" s="9" t="s">
        <v>1686</v>
      </c>
    </row>
    <row r="296" customFormat="false" ht="41.25" hidden="false" customHeight="true" outlineLevel="0" collapsed="false">
      <c r="A296" s="9" t="s">
        <v>2957</v>
      </c>
      <c r="B296" s="9" t="s">
        <v>1332</v>
      </c>
      <c r="C296" s="9" t="n">
        <v>1</v>
      </c>
      <c r="D296" s="9" t="s">
        <v>1631</v>
      </c>
      <c r="E296" s="9" t="s">
        <v>2958</v>
      </c>
      <c r="F296" s="9" t="s">
        <v>2959</v>
      </c>
      <c r="G296" s="9" t="s">
        <v>1634</v>
      </c>
      <c r="H296" s="9" t="s">
        <v>2720</v>
      </c>
      <c r="I296" s="9" t="s">
        <v>2721</v>
      </c>
      <c r="J296" s="9" t="s">
        <v>2960</v>
      </c>
      <c r="K296" s="9" t="s">
        <v>1638</v>
      </c>
      <c r="L296" s="9" t="s">
        <v>1639</v>
      </c>
      <c r="M296" s="9" t="s">
        <v>562</v>
      </c>
      <c r="N296" s="9" t="s">
        <v>1640</v>
      </c>
    </row>
    <row r="297" customFormat="false" ht="41.25" hidden="false" customHeight="true" outlineLevel="0" collapsed="false">
      <c r="A297" s="9" t="s">
        <v>2961</v>
      </c>
      <c r="B297" s="9" t="s">
        <v>1332</v>
      </c>
      <c r="C297" s="9" t="n">
        <v>2</v>
      </c>
      <c r="D297" s="9" t="s">
        <v>1631</v>
      </c>
      <c r="E297" s="9" t="s">
        <v>2962</v>
      </c>
      <c r="F297" s="9" t="s">
        <v>2963</v>
      </c>
      <c r="G297" s="9" t="s">
        <v>1634</v>
      </c>
      <c r="H297" s="9" t="s">
        <v>2964</v>
      </c>
      <c r="I297" s="9" t="s">
        <v>2965</v>
      </c>
      <c r="J297" s="9" t="s">
        <v>2960</v>
      </c>
      <c r="K297" s="9" t="s">
        <v>1638</v>
      </c>
      <c r="L297" s="9" t="s">
        <v>1639</v>
      </c>
      <c r="M297" s="9" t="s">
        <v>562</v>
      </c>
      <c r="N297" s="9" t="s">
        <v>1640</v>
      </c>
    </row>
    <row r="298" customFormat="false" ht="41.25" hidden="false" customHeight="true" outlineLevel="0" collapsed="false">
      <c r="A298" s="9" t="s">
        <v>2966</v>
      </c>
      <c r="B298" s="9" t="s">
        <v>1332</v>
      </c>
      <c r="C298" s="9" t="n">
        <v>3</v>
      </c>
      <c r="D298" s="9" t="s">
        <v>1631</v>
      </c>
      <c r="E298" s="9" t="s">
        <v>2967</v>
      </c>
      <c r="F298" s="9" t="s">
        <v>2968</v>
      </c>
      <c r="G298" s="9" t="s">
        <v>1634</v>
      </c>
      <c r="H298" s="9" t="s">
        <v>2969</v>
      </c>
      <c r="I298" s="9" t="s">
        <v>2970</v>
      </c>
      <c r="J298" s="9" t="s">
        <v>2960</v>
      </c>
      <c r="K298" s="9" t="s">
        <v>1638</v>
      </c>
      <c r="L298" s="9" t="s">
        <v>1639</v>
      </c>
      <c r="M298" s="9" t="s">
        <v>562</v>
      </c>
      <c r="N298" s="9" t="s">
        <v>1640</v>
      </c>
    </row>
    <row r="299" customFormat="false" ht="54.75" hidden="false" customHeight="true" outlineLevel="0" collapsed="false">
      <c r="A299" s="9" t="s">
        <v>2971</v>
      </c>
      <c r="B299" s="9" t="s">
        <v>1332</v>
      </c>
      <c r="C299" s="9" t="n">
        <v>4</v>
      </c>
      <c r="D299" s="9" t="s">
        <v>1652</v>
      </c>
      <c r="E299" s="9" t="s">
        <v>2972</v>
      </c>
      <c r="F299" s="9" t="s">
        <v>2973</v>
      </c>
      <c r="G299" s="9" t="s">
        <v>1931</v>
      </c>
      <c r="H299" s="9" t="s">
        <v>1754</v>
      </c>
      <c r="I299" s="9" t="s">
        <v>2433</v>
      </c>
      <c r="J299" s="9" t="s">
        <v>2974</v>
      </c>
      <c r="K299" s="9" t="s">
        <v>1659</v>
      </c>
      <c r="L299" s="9" t="s">
        <v>1660</v>
      </c>
      <c r="M299" s="9" t="s">
        <v>1661</v>
      </c>
      <c r="N299" s="9" t="s">
        <v>1662</v>
      </c>
    </row>
    <row r="300" customFormat="false" ht="54.75" hidden="false" customHeight="true" outlineLevel="0" collapsed="false">
      <c r="A300" s="9" t="s">
        <v>2975</v>
      </c>
      <c r="B300" s="9" t="s">
        <v>1332</v>
      </c>
      <c r="C300" s="9" t="n">
        <v>5</v>
      </c>
      <c r="D300" s="9" t="s">
        <v>1652</v>
      </c>
      <c r="E300" s="9" t="s">
        <v>2976</v>
      </c>
      <c r="F300" s="9" t="s">
        <v>2977</v>
      </c>
      <c r="G300" s="9" t="s">
        <v>1931</v>
      </c>
      <c r="H300" s="9" t="s">
        <v>1754</v>
      </c>
      <c r="I300" s="9" t="s">
        <v>2706</v>
      </c>
      <c r="J300" s="9" t="s">
        <v>2974</v>
      </c>
      <c r="K300" s="9" t="s">
        <v>1659</v>
      </c>
      <c r="L300" s="9" t="s">
        <v>1660</v>
      </c>
      <c r="M300" s="9" t="s">
        <v>1661</v>
      </c>
      <c r="N300" s="9" t="s">
        <v>1662</v>
      </c>
    </row>
    <row r="301" customFormat="false" ht="54.75" hidden="false" customHeight="true" outlineLevel="0" collapsed="false">
      <c r="A301" s="9" t="s">
        <v>2978</v>
      </c>
      <c r="B301" s="9" t="s">
        <v>1332</v>
      </c>
      <c r="C301" s="9" t="n">
        <v>6</v>
      </c>
      <c r="D301" s="9" t="s">
        <v>1652</v>
      </c>
      <c r="E301" s="9" t="s">
        <v>2586</v>
      </c>
      <c r="F301" s="9" t="s">
        <v>2587</v>
      </c>
      <c r="G301" s="9" t="s">
        <v>2163</v>
      </c>
      <c r="H301" s="9" t="s">
        <v>1667</v>
      </c>
      <c r="I301" s="9" t="s">
        <v>2316</v>
      </c>
      <c r="J301" s="9" t="s">
        <v>2974</v>
      </c>
      <c r="K301" s="9" t="s">
        <v>1659</v>
      </c>
      <c r="L301" s="9" t="s">
        <v>1660</v>
      </c>
      <c r="M301" s="9" t="s">
        <v>1661</v>
      </c>
      <c r="N301" s="9" t="s">
        <v>1662</v>
      </c>
    </row>
    <row r="302" customFormat="false" ht="41.25" hidden="false" customHeight="true" outlineLevel="0" collapsed="false">
      <c r="A302" s="9" t="s">
        <v>2979</v>
      </c>
      <c r="B302" s="9" t="s">
        <v>1332</v>
      </c>
      <c r="C302" s="9" t="n">
        <v>7</v>
      </c>
      <c r="D302" s="9" t="s">
        <v>1676</v>
      </c>
      <c r="E302" s="9" t="s">
        <v>1677</v>
      </c>
      <c r="F302" s="9" t="s">
        <v>2980</v>
      </c>
      <c r="G302" s="9" t="s">
        <v>1679</v>
      </c>
      <c r="H302" s="9" t="s">
        <v>1680</v>
      </c>
      <c r="I302" s="9" t="s">
        <v>2981</v>
      </c>
      <c r="J302" s="9" t="s">
        <v>2982</v>
      </c>
      <c r="K302" s="9" t="s">
        <v>1683</v>
      </c>
      <c r="L302" s="9" t="s">
        <v>1684</v>
      </c>
      <c r="M302" s="9" t="s">
        <v>1685</v>
      </c>
      <c r="N302" s="9" t="s">
        <v>1686</v>
      </c>
    </row>
    <row r="303" customFormat="false" ht="41.25" hidden="false" customHeight="true" outlineLevel="0" collapsed="false">
      <c r="A303" s="9" t="s">
        <v>2983</v>
      </c>
      <c r="B303" s="9" t="s">
        <v>1361</v>
      </c>
      <c r="C303" s="9" t="n">
        <v>1</v>
      </c>
      <c r="D303" s="9" t="s">
        <v>1631</v>
      </c>
      <c r="E303" s="9" t="s">
        <v>2984</v>
      </c>
      <c r="F303" s="9" t="s">
        <v>2985</v>
      </c>
      <c r="G303" s="9" t="s">
        <v>1634</v>
      </c>
      <c r="H303" s="9" t="s">
        <v>2634</v>
      </c>
      <c r="I303" s="9" t="s">
        <v>2635</v>
      </c>
      <c r="J303" s="9" t="s">
        <v>2986</v>
      </c>
      <c r="K303" s="9" t="s">
        <v>1638</v>
      </c>
      <c r="L303" s="9" t="s">
        <v>1639</v>
      </c>
      <c r="M303" s="9" t="s">
        <v>562</v>
      </c>
      <c r="N303" s="9" t="s">
        <v>1640</v>
      </c>
    </row>
    <row r="304" customFormat="false" ht="41.25" hidden="false" customHeight="true" outlineLevel="0" collapsed="false">
      <c r="A304" s="9" t="s">
        <v>2987</v>
      </c>
      <c r="B304" s="9" t="s">
        <v>1361</v>
      </c>
      <c r="C304" s="9" t="n">
        <v>2</v>
      </c>
      <c r="D304" s="9" t="s">
        <v>1631</v>
      </c>
      <c r="E304" s="9" t="s">
        <v>2365</v>
      </c>
      <c r="F304" s="9" t="s">
        <v>476</v>
      </c>
      <c r="G304" s="9" t="s">
        <v>1634</v>
      </c>
      <c r="H304" s="9" t="s">
        <v>2988</v>
      </c>
      <c r="I304" s="9" t="s">
        <v>2989</v>
      </c>
      <c r="J304" s="9" t="s">
        <v>2986</v>
      </c>
      <c r="K304" s="9" t="s">
        <v>1638</v>
      </c>
      <c r="L304" s="9" t="s">
        <v>1639</v>
      </c>
      <c r="M304" s="9" t="s">
        <v>562</v>
      </c>
      <c r="N304" s="9" t="s">
        <v>1640</v>
      </c>
    </row>
    <row r="305" customFormat="false" ht="41.25" hidden="false" customHeight="true" outlineLevel="0" collapsed="false">
      <c r="A305" s="9" t="s">
        <v>2990</v>
      </c>
      <c r="B305" s="9" t="s">
        <v>1361</v>
      </c>
      <c r="C305" s="9" t="n">
        <v>3</v>
      </c>
      <c r="D305" s="9" t="s">
        <v>1631</v>
      </c>
      <c r="E305" s="9" t="s">
        <v>2991</v>
      </c>
      <c r="F305" s="9" t="s">
        <v>2992</v>
      </c>
      <c r="G305" s="9" t="s">
        <v>1634</v>
      </c>
      <c r="H305" s="9" t="s">
        <v>2993</v>
      </c>
      <c r="I305" s="9" t="s">
        <v>2994</v>
      </c>
      <c r="J305" s="9" t="s">
        <v>2986</v>
      </c>
      <c r="K305" s="9" t="s">
        <v>1638</v>
      </c>
      <c r="L305" s="9" t="s">
        <v>1639</v>
      </c>
      <c r="M305" s="9" t="s">
        <v>562</v>
      </c>
      <c r="N305" s="9" t="s">
        <v>1640</v>
      </c>
    </row>
    <row r="306" customFormat="false" ht="54.75" hidden="false" customHeight="true" outlineLevel="0" collapsed="false">
      <c r="A306" s="9" t="s">
        <v>2995</v>
      </c>
      <c r="B306" s="9" t="s">
        <v>1361</v>
      </c>
      <c r="C306" s="9" t="n">
        <v>4</v>
      </c>
      <c r="D306" s="9" t="s">
        <v>1652</v>
      </c>
      <c r="E306" s="9" t="s">
        <v>1993</v>
      </c>
      <c r="F306" s="9" t="s">
        <v>1994</v>
      </c>
      <c r="G306" s="9" t="s">
        <v>2066</v>
      </c>
      <c r="H306" s="9" t="s">
        <v>1656</v>
      </c>
      <c r="I306" s="9" t="s">
        <v>2996</v>
      </c>
      <c r="J306" s="9" t="s">
        <v>2997</v>
      </c>
      <c r="K306" s="9" t="s">
        <v>1659</v>
      </c>
      <c r="L306" s="9" t="s">
        <v>1660</v>
      </c>
      <c r="M306" s="9" t="s">
        <v>1661</v>
      </c>
      <c r="N306" s="9" t="s">
        <v>1662</v>
      </c>
    </row>
    <row r="307" customFormat="false" ht="54.75" hidden="false" customHeight="true" outlineLevel="0" collapsed="false">
      <c r="A307" s="9" t="s">
        <v>2998</v>
      </c>
      <c r="B307" s="9" t="s">
        <v>1361</v>
      </c>
      <c r="C307" s="9" t="n">
        <v>5</v>
      </c>
      <c r="D307" s="9" t="s">
        <v>1652</v>
      </c>
      <c r="E307" s="9" t="s">
        <v>2999</v>
      </c>
      <c r="F307" s="9" t="s">
        <v>3000</v>
      </c>
      <c r="G307" s="9" t="s">
        <v>1753</v>
      </c>
      <c r="H307" s="9" t="s">
        <v>1754</v>
      </c>
      <c r="I307" s="9" t="s">
        <v>2706</v>
      </c>
      <c r="J307" s="9" t="s">
        <v>2997</v>
      </c>
      <c r="K307" s="9" t="s">
        <v>1659</v>
      </c>
      <c r="L307" s="9" t="s">
        <v>1660</v>
      </c>
      <c r="M307" s="9" t="s">
        <v>1661</v>
      </c>
      <c r="N307" s="9" t="s">
        <v>1662</v>
      </c>
    </row>
    <row r="308" customFormat="false" ht="54.75" hidden="false" customHeight="true" outlineLevel="0" collapsed="false">
      <c r="A308" s="9" t="s">
        <v>3001</v>
      </c>
      <c r="B308" s="9" t="s">
        <v>1361</v>
      </c>
      <c r="C308" s="9" t="n">
        <v>6</v>
      </c>
      <c r="D308" s="9" t="s">
        <v>1652</v>
      </c>
      <c r="E308" s="9" t="s">
        <v>2408</v>
      </c>
      <c r="F308" s="9" t="s">
        <v>2409</v>
      </c>
      <c r="G308" s="9" t="s">
        <v>2129</v>
      </c>
      <c r="H308" s="9" t="s">
        <v>1673</v>
      </c>
      <c r="I308" s="9" t="s">
        <v>3002</v>
      </c>
      <c r="J308" s="9" t="s">
        <v>2997</v>
      </c>
      <c r="K308" s="9" t="s">
        <v>1659</v>
      </c>
      <c r="L308" s="9" t="s">
        <v>1660</v>
      </c>
      <c r="M308" s="9" t="s">
        <v>1661</v>
      </c>
      <c r="N308" s="9" t="s">
        <v>1662</v>
      </c>
    </row>
    <row r="309" customFormat="false" ht="41.25" hidden="false" customHeight="true" outlineLevel="0" collapsed="false">
      <c r="A309" s="9" t="s">
        <v>3003</v>
      </c>
      <c r="B309" s="9" t="s">
        <v>1361</v>
      </c>
      <c r="C309" s="9" t="n">
        <v>7</v>
      </c>
      <c r="D309" s="9" t="s">
        <v>1676</v>
      </c>
      <c r="E309" s="9" t="s">
        <v>1677</v>
      </c>
      <c r="F309" s="9" t="s">
        <v>3004</v>
      </c>
      <c r="G309" s="9" t="s">
        <v>1679</v>
      </c>
      <c r="H309" s="9" t="s">
        <v>1680</v>
      </c>
      <c r="I309" s="9" t="s">
        <v>3005</v>
      </c>
      <c r="J309" s="9" t="s">
        <v>3006</v>
      </c>
      <c r="K309" s="9" t="s">
        <v>1683</v>
      </c>
      <c r="L309" s="9" t="s">
        <v>1684</v>
      </c>
      <c r="M309" s="9" t="s">
        <v>1685</v>
      </c>
      <c r="N309" s="9" t="s">
        <v>1686</v>
      </c>
    </row>
    <row r="310" customFormat="false" ht="41.25" hidden="false" customHeight="true" outlineLevel="0" collapsed="false">
      <c r="A310" s="9" t="s">
        <v>3007</v>
      </c>
      <c r="B310" s="9" t="s">
        <v>1387</v>
      </c>
      <c r="C310" s="9" t="n">
        <v>1</v>
      </c>
      <c r="D310" s="9" t="s">
        <v>1631</v>
      </c>
      <c r="E310" s="9" t="s">
        <v>3008</v>
      </c>
      <c r="F310" s="9" t="s">
        <v>3009</v>
      </c>
      <c r="G310" s="9" t="s">
        <v>1634</v>
      </c>
      <c r="H310" s="9" t="s">
        <v>2941</v>
      </c>
      <c r="I310" s="9" t="s">
        <v>2942</v>
      </c>
      <c r="J310" s="9" t="s">
        <v>3010</v>
      </c>
      <c r="K310" s="9" t="s">
        <v>1638</v>
      </c>
      <c r="L310" s="9" t="s">
        <v>1639</v>
      </c>
      <c r="M310" s="9" t="s">
        <v>562</v>
      </c>
      <c r="N310" s="9" t="s">
        <v>1640</v>
      </c>
    </row>
    <row r="311" customFormat="false" ht="41.25" hidden="false" customHeight="true" outlineLevel="0" collapsed="false">
      <c r="A311" s="9" t="s">
        <v>3011</v>
      </c>
      <c r="B311" s="9" t="s">
        <v>1387</v>
      </c>
      <c r="C311" s="9" t="n">
        <v>2</v>
      </c>
      <c r="D311" s="9" t="s">
        <v>1631</v>
      </c>
      <c r="E311" s="9" t="s">
        <v>3012</v>
      </c>
      <c r="F311" s="9" t="s">
        <v>3013</v>
      </c>
      <c r="G311" s="9" t="s">
        <v>1634</v>
      </c>
      <c r="H311" s="9" t="s">
        <v>3014</v>
      </c>
      <c r="I311" s="9" t="s">
        <v>3015</v>
      </c>
      <c r="J311" s="9" t="s">
        <v>3010</v>
      </c>
      <c r="K311" s="9" t="s">
        <v>1638</v>
      </c>
      <c r="L311" s="9" t="s">
        <v>1639</v>
      </c>
      <c r="M311" s="9" t="s">
        <v>562</v>
      </c>
      <c r="N311" s="9" t="s">
        <v>1640</v>
      </c>
    </row>
    <row r="312" customFormat="false" ht="41.25" hidden="false" customHeight="true" outlineLevel="0" collapsed="false">
      <c r="A312" s="9" t="s">
        <v>3016</v>
      </c>
      <c r="B312" s="9" t="s">
        <v>1387</v>
      </c>
      <c r="C312" s="9" t="n">
        <v>3</v>
      </c>
      <c r="D312" s="9" t="s">
        <v>1631</v>
      </c>
      <c r="E312" s="9" t="s">
        <v>3017</v>
      </c>
      <c r="F312" s="9" t="s">
        <v>3018</v>
      </c>
      <c r="G312" s="9" t="s">
        <v>1634</v>
      </c>
      <c r="H312" s="9" t="s">
        <v>3019</v>
      </c>
      <c r="I312" s="9" t="s">
        <v>3020</v>
      </c>
      <c r="J312" s="9" t="s">
        <v>3010</v>
      </c>
      <c r="K312" s="9" t="s">
        <v>1638</v>
      </c>
      <c r="L312" s="9" t="s">
        <v>1639</v>
      </c>
      <c r="M312" s="9" t="s">
        <v>562</v>
      </c>
      <c r="N312" s="9" t="s">
        <v>1640</v>
      </c>
    </row>
    <row r="313" customFormat="false" ht="54.75" hidden="false" customHeight="true" outlineLevel="0" collapsed="false">
      <c r="A313" s="9" t="s">
        <v>3021</v>
      </c>
      <c r="B313" s="9" t="s">
        <v>1387</v>
      </c>
      <c r="C313" s="9" t="n">
        <v>4</v>
      </c>
      <c r="D313" s="9" t="s">
        <v>1652</v>
      </c>
      <c r="E313" s="9" t="s">
        <v>3022</v>
      </c>
      <c r="F313" s="9" t="s">
        <v>3023</v>
      </c>
      <c r="G313" s="9" t="s">
        <v>2849</v>
      </c>
      <c r="H313" s="9" t="s">
        <v>1713</v>
      </c>
      <c r="I313" s="9" t="s">
        <v>2950</v>
      </c>
      <c r="J313" s="9" t="s">
        <v>3024</v>
      </c>
      <c r="K313" s="9" t="s">
        <v>1659</v>
      </c>
      <c r="L313" s="9" t="s">
        <v>1660</v>
      </c>
      <c r="M313" s="9" t="s">
        <v>1661</v>
      </c>
      <c r="N313" s="9" t="s">
        <v>1662</v>
      </c>
    </row>
    <row r="314" customFormat="false" ht="54.75" hidden="false" customHeight="true" outlineLevel="0" collapsed="false">
      <c r="A314" s="9" t="s">
        <v>3025</v>
      </c>
      <c r="B314" s="9" t="s">
        <v>1387</v>
      </c>
      <c r="C314" s="9" t="n">
        <v>5</v>
      </c>
      <c r="D314" s="9" t="s">
        <v>1652</v>
      </c>
      <c r="E314" s="9" t="s">
        <v>3026</v>
      </c>
      <c r="F314" s="9" t="s">
        <v>3027</v>
      </c>
      <c r="G314" s="9" t="s">
        <v>2849</v>
      </c>
      <c r="H314" s="9" t="s">
        <v>1713</v>
      </c>
      <c r="I314" s="9" t="s">
        <v>3028</v>
      </c>
      <c r="J314" s="9" t="s">
        <v>3024</v>
      </c>
      <c r="K314" s="9" t="s">
        <v>1659</v>
      </c>
      <c r="L314" s="9" t="s">
        <v>1660</v>
      </c>
      <c r="M314" s="9" t="s">
        <v>1661</v>
      </c>
      <c r="N314" s="9" t="s">
        <v>1662</v>
      </c>
    </row>
    <row r="315" customFormat="false" ht="54.75" hidden="false" customHeight="true" outlineLevel="0" collapsed="false">
      <c r="A315" s="9" t="s">
        <v>3029</v>
      </c>
      <c r="B315" s="9" t="s">
        <v>1387</v>
      </c>
      <c r="C315" s="9" t="n">
        <v>6</v>
      </c>
      <c r="D315" s="9" t="s">
        <v>1652</v>
      </c>
      <c r="E315" s="9" t="s">
        <v>3030</v>
      </c>
      <c r="F315" s="9" t="s">
        <v>3031</v>
      </c>
      <c r="G315" s="9" t="s">
        <v>1931</v>
      </c>
      <c r="H315" s="9" t="s">
        <v>1754</v>
      </c>
      <c r="I315" s="9" t="s">
        <v>3032</v>
      </c>
      <c r="J315" s="9" t="s">
        <v>3024</v>
      </c>
      <c r="K315" s="9" t="s">
        <v>1659</v>
      </c>
      <c r="L315" s="9" t="s">
        <v>1660</v>
      </c>
      <c r="M315" s="9" t="s">
        <v>1661</v>
      </c>
      <c r="N315" s="9" t="s">
        <v>1662</v>
      </c>
    </row>
    <row r="316" customFormat="false" ht="41.25" hidden="false" customHeight="true" outlineLevel="0" collapsed="false">
      <c r="A316" s="9" t="s">
        <v>3033</v>
      </c>
      <c r="B316" s="9" t="s">
        <v>1387</v>
      </c>
      <c r="C316" s="9" t="n">
        <v>7</v>
      </c>
      <c r="D316" s="9" t="s">
        <v>1676</v>
      </c>
      <c r="E316" s="9" t="s">
        <v>1677</v>
      </c>
      <c r="F316" s="9" t="s">
        <v>1394</v>
      </c>
      <c r="G316" s="9" t="s">
        <v>1679</v>
      </c>
      <c r="H316" s="9" t="s">
        <v>1680</v>
      </c>
      <c r="I316" s="9" t="s">
        <v>3034</v>
      </c>
      <c r="J316" s="9" t="s">
        <v>3035</v>
      </c>
      <c r="K316" s="9" t="s">
        <v>1683</v>
      </c>
      <c r="L316" s="9" t="s">
        <v>1684</v>
      </c>
      <c r="M316" s="9" t="s">
        <v>1685</v>
      </c>
      <c r="N316" s="9" t="s">
        <v>1686</v>
      </c>
    </row>
    <row r="317" customFormat="false" ht="41.25" hidden="false" customHeight="true" outlineLevel="0" collapsed="false">
      <c r="A317" s="9" t="s">
        <v>3036</v>
      </c>
      <c r="B317" s="9" t="s">
        <v>1407</v>
      </c>
      <c r="C317" s="9" t="n">
        <v>1</v>
      </c>
      <c r="D317" s="9" t="s">
        <v>1631</v>
      </c>
      <c r="E317" s="9" t="s">
        <v>2365</v>
      </c>
      <c r="F317" s="9" t="s">
        <v>476</v>
      </c>
      <c r="G317" s="9" t="s">
        <v>1634</v>
      </c>
      <c r="H317" s="9" t="s">
        <v>3037</v>
      </c>
      <c r="I317" s="9" t="s">
        <v>3038</v>
      </c>
      <c r="J317" s="9" t="s">
        <v>3039</v>
      </c>
      <c r="K317" s="9" t="s">
        <v>1638</v>
      </c>
      <c r="L317" s="9" t="s">
        <v>1639</v>
      </c>
      <c r="M317" s="9" t="s">
        <v>562</v>
      </c>
      <c r="N317" s="9" t="s">
        <v>1640</v>
      </c>
    </row>
    <row r="318" customFormat="false" ht="41.25" hidden="false" customHeight="true" outlineLevel="0" collapsed="false">
      <c r="A318" s="9" t="s">
        <v>3040</v>
      </c>
      <c r="B318" s="9" t="s">
        <v>1407</v>
      </c>
      <c r="C318" s="9" t="n">
        <v>2</v>
      </c>
      <c r="D318" s="9" t="s">
        <v>1631</v>
      </c>
      <c r="E318" s="9" t="s">
        <v>2637</v>
      </c>
      <c r="F318" s="9" t="s">
        <v>2638</v>
      </c>
      <c r="G318" s="9" t="s">
        <v>1634</v>
      </c>
      <c r="H318" s="9" t="s">
        <v>2639</v>
      </c>
      <c r="I318" s="9" t="s">
        <v>2640</v>
      </c>
      <c r="J318" s="9" t="s">
        <v>3039</v>
      </c>
      <c r="K318" s="9" t="s">
        <v>1638</v>
      </c>
      <c r="L318" s="9" t="s">
        <v>1639</v>
      </c>
      <c r="M318" s="9" t="s">
        <v>562</v>
      </c>
      <c r="N318" s="9" t="s">
        <v>1640</v>
      </c>
    </row>
    <row r="319" customFormat="false" ht="41.25" hidden="false" customHeight="true" outlineLevel="0" collapsed="false">
      <c r="A319" s="9" t="s">
        <v>3041</v>
      </c>
      <c r="B319" s="9" t="s">
        <v>1407</v>
      </c>
      <c r="C319" s="9" t="n">
        <v>3</v>
      </c>
      <c r="D319" s="9" t="s">
        <v>1631</v>
      </c>
      <c r="E319" s="9" t="s">
        <v>3042</v>
      </c>
      <c r="F319" s="9" t="s">
        <v>3043</v>
      </c>
      <c r="G319" s="9" t="s">
        <v>1634</v>
      </c>
      <c r="H319" s="9" t="s">
        <v>3044</v>
      </c>
      <c r="I319" s="9" t="s">
        <v>3045</v>
      </c>
      <c r="J319" s="9" t="s">
        <v>3039</v>
      </c>
      <c r="K319" s="9" t="s">
        <v>1638</v>
      </c>
      <c r="L319" s="9" t="s">
        <v>1639</v>
      </c>
      <c r="M319" s="9" t="s">
        <v>562</v>
      </c>
      <c r="N319" s="9" t="s">
        <v>1640</v>
      </c>
    </row>
    <row r="320" customFormat="false" ht="54.75" hidden="false" customHeight="true" outlineLevel="0" collapsed="false">
      <c r="A320" s="9" t="s">
        <v>3046</v>
      </c>
      <c r="B320" s="9" t="s">
        <v>1407</v>
      </c>
      <c r="C320" s="9" t="n">
        <v>4</v>
      </c>
      <c r="D320" s="9" t="s">
        <v>1652</v>
      </c>
      <c r="E320" s="9" t="s">
        <v>1993</v>
      </c>
      <c r="F320" s="9" t="s">
        <v>1994</v>
      </c>
      <c r="G320" s="9" t="s">
        <v>2066</v>
      </c>
      <c r="H320" s="9" t="s">
        <v>1656</v>
      </c>
      <c r="I320" s="9" t="s">
        <v>3047</v>
      </c>
      <c r="J320" s="9" t="s">
        <v>3048</v>
      </c>
      <c r="K320" s="9" t="s">
        <v>1659</v>
      </c>
      <c r="L320" s="9" t="s">
        <v>1660</v>
      </c>
      <c r="M320" s="9" t="s">
        <v>1661</v>
      </c>
      <c r="N320" s="9" t="s">
        <v>1662</v>
      </c>
    </row>
    <row r="321" customFormat="false" ht="54.75" hidden="false" customHeight="true" outlineLevel="0" collapsed="false">
      <c r="A321" s="9" t="s">
        <v>3049</v>
      </c>
      <c r="B321" s="9" t="s">
        <v>1407</v>
      </c>
      <c r="C321" s="9" t="n">
        <v>5</v>
      </c>
      <c r="D321" s="9" t="s">
        <v>1652</v>
      </c>
      <c r="E321" s="9" t="s">
        <v>2586</v>
      </c>
      <c r="F321" s="9" t="s">
        <v>2587</v>
      </c>
      <c r="G321" s="9" t="s">
        <v>2163</v>
      </c>
      <c r="H321" s="9" t="s">
        <v>1667</v>
      </c>
      <c r="I321" s="9" t="s">
        <v>1961</v>
      </c>
      <c r="J321" s="9" t="s">
        <v>3048</v>
      </c>
      <c r="K321" s="9" t="s">
        <v>1659</v>
      </c>
      <c r="L321" s="9" t="s">
        <v>1660</v>
      </c>
      <c r="M321" s="9" t="s">
        <v>1661</v>
      </c>
      <c r="N321" s="9" t="s">
        <v>1662</v>
      </c>
    </row>
    <row r="322" customFormat="false" ht="54.75" hidden="false" customHeight="true" outlineLevel="0" collapsed="false">
      <c r="A322" s="9" t="s">
        <v>3050</v>
      </c>
      <c r="B322" s="9" t="s">
        <v>1407</v>
      </c>
      <c r="C322" s="9" t="n">
        <v>6</v>
      </c>
      <c r="D322" s="9" t="s">
        <v>1652</v>
      </c>
      <c r="E322" s="9" t="s">
        <v>2815</v>
      </c>
      <c r="F322" s="9" t="s">
        <v>2816</v>
      </c>
      <c r="G322" s="9" t="s">
        <v>2817</v>
      </c>
      <c r="H322" s="9" t="s">
        <v>1754</v>
      </c>
      <c r="I322" s="9" t="s">
        <v>3051</v>
      </c>
      <c r="J322" s="9" t="s">
        <v>3048</v>
      </c>
      <c r="K322" s="9" t="s">
        <v>1659</v>
      </c>
      <c r="L322" s="9" t="s">
        <v>1660</v>
      </c>
      <c r="M322" s="9" t="s">
        <v>1661</v>
      </c>
      <c r="N322" s="9" t="s">
        <v>1662</v>
      </c>
    </row>
    <row r="323" customFormat="false" ht="41.25" hidden="false" customHeight="true" outlineLevel="0" collapsed="false">
      <c r="A323" s="9" t="s">
        <v>3052</v>
      </c>
      <c r="B323" s="9" t="s">
        <v>1407</v>
      </c>
      <c r="C323" s="9" t="n">
        <v>7</v>
      </c>
      <c r="D323" s="9" t="s">
        <v>1676</v>
      </c>
      <c r="E323" s="9" t="s">
        <v>1677</v>
      </c>
      <c r="F323" s="9" t="s">
        <v>1414</v>
      </c>
      <c r="G323" s="9" t="s">
        <v>1679</v>
      </c>
      <c r="H323" s="9" t="s">
        <v>1680</v>
      </c>
      <c r="I323" s="9" t="s">
        <v>3053</v>
      </c>
      <c r="J323" s="9" t="s">
        <v>3054</v>
      </c>
      <c r="K323" s="9" t="s">
        <v>1683</v>
      </c>
      <c r="L323" s="9" t="s">
        <v>1684</v>
      </c>
      <c r="M323" s="9" t="s">
        <v>1685</v>
      </c>
      <c r="N323" s="9" t="s">
        <v>1686</v>
      </c>
    </row>
    <row r="324" customFormat="false" ht="41.25" hidden="false" customHeight="true" outlineLevel="0" collapsed="false">
      <c r="A324" s="9" t="s">
        <v>3055</v>
      </c>
      <c r="B324" s="9" t="s">
        <v>1428</v>
      </c>
      <c r="C324" s="9" t="n">
        <v>1</v>
      </c>
      <c r="D324" s="9" t="s">
        <v>1631</v>
      </c>
      <c r="E324" s="9" t="s">
        <v>3056</v>
      </c>
      <c r="F324" s="9" t="s">
        <v>3057</v>
      </c>
      <c r="G324" s="9" t="s">
        <v>1634</v>
      </c>
      <c r="H324" s="9" t="s">
        <v>3058</v>
      </c>
      <c r="I324" s="9" t="s">
        <v>3059</v>
      </c>
      <c r="J324" s="9" t="s">
        <v>3060</v>
      </c>
      <c r="K324" s="9" t="s">
        <v>1638</v>
      </c>
      <c r="L324" s="9" t="s">
        <v>1639</v>
      </c>
      <c r="M324" s="9" t="s">
        <v>562</v>
      </c>
      <c r="N324" s="9" t="s">
        <v>1640</v>
      </c>
    </row>
    <row r="325" customFormat="false" ht="41.25" hidden="false" customHeight="true" outlineLevel="0" collapsed="false">
      <c r="A325" s="9" t="s">
        <v>3061</v>
      </c>
      <c r="B325" s="9" t="s">
        <v>1428</v>
      </c>
      <c r="C325" s="9" t="n">
        <v>2</v>
      </c>
      <c r="D325" s="9" t="s">
        <v>1631</v>
      </c>
      <c r="E325" s="9" t="s">
        <v>2637</v>
      </c>
      <c r="F325" s="9" t="s">
        <v>2638</v>
      </c>
      <c r="G325" s="9" t="s">
        <v>1634</v>
      </c>
      <c r="H325" s="9" t="s">
        <v>2639</v>
      </c>
      <c r="I325" s="9" t="s">
        <v>2640</v>
      </c>
      <c r="J325" s="9" t="s">
        <v>3060</v>
      </c>
      <c r="K325" s="9" t="s">
        <v>1638</v>
      </c>
      <c r="L325" s="9" t="s">
        <v>1639</v>
      </c>
      <c r="M325" s="9" t="s">
        <v>562</v>
      </c>
      <c r="N325" s="9" t="s">
        <v>1640</v>
      </c>
    </row>
    <row r="326" customFormat="false" ht="41.25" hidden="false" customHeight="true" outlineLevel="0" collapsed="false">
      <c r="A326" s="9" t="s">
        <v>3062</v>
      </c>
      <c r="B326" s="9" t="s">
        <v>1428</v>
      </c>
      <c r="C326" s="9" t="n">
        <v>3</v>
      </c>
      <c r="D326" s="9" t="s">
        <v>1631</v>
      </c>
      <c r="E326" s="9" t="s">
        <v>3063</v>
      </c>
      <c r="F326" s="9" t="s">
        <v>3064</v>
      </c>
      <c r="G326" s="9" t="s">
        <v>1634</v>
      </c>
      <c r="H326" s="9" t="s">
        <v>3065</v>
      </c>
      <c r="I326" s="9" t="s">
        <v>3066</v>
      </c>
      <c r="J326" s="9" t="s">
        <v>3060</v>
      </c>
      <c r="K326" s="9" t="s">
        <v>1638</v>
      </c>
      <c r="L326" s="9" t="s">
        <v>1639</v>
      </c>
      <c r="M326" s="9" t="s">
        <v>562</v>
      </c>
      <c r="N326" s="9" t="s">
        <v>1640</v>
      </c>
    </row>
    <row r="327" customFormat="false" ht="54.75" hidden="false" customHeight="true" outlineLevel="0" collapsed="false">
      <c r="A327" s="9" t="s">
        <v>3067</v>
      </c>
      <c r="B327" s="9" t="s">
        <v>1428</v>
      </c>
      <c r="C327" s="9" t="n">
        <v>4</v>
      </c>
      <c r="D327" s="9" t="s">
        <v>1652</v>
      </c>
      <c r="E327" s="9" t="s">
        <v>3068</v>
      </c>
      <c r="F327" s="9" t="s">
        <v>3069</v>
      </c>
      <c r="G327" s="9" t="s">
        <v>1931</v>
      </c>
      <c r="H327" s="9" t="s">
        <v>1754</v>
      </c>
      <c r="I327" s="9" t="s">
        <v>2950</v>
      </c>
      <c r="J327" s="9" t="s">
        <v>3070</v>
      </c>
      <c r="K327" s="9" t="s">
        <v>1659</v>
      </c>
      <c r="L327" s="9" t="s">
        <v>1660</v>
      </c>
      <c r="M327" s="9" t="s">
        <v>1661</v>
      </c>
      <c r="N327" s="9" t="s">
        <v>1662</v>
      </c>
    </row>
    <row r="328" customFormat="false" ht="54.75" hidden="false" customHeight="true" outlineLevel="0" collapsed="false">
      <c r="A328" s="9" t="s">
        <v>3071</v>
      </c>
      <c r="B328" s="9" t="s">
        <v>1428</v>
      </c>
      <c r="C328" s="9" t="n">
        <v>5</v>
      </c>
      <c r="D328" s="9" t="s">
        <v>1652</v>
      </c>
      <c r="E328" s="9" t="s">
        <v>3072</v>
      </c>
      <c r="F328" s="9" t="s">
        <v>3073</v>
      </c>
      <c r="G328" s="9" t="s">
        <v>2163</v>
      </c>
      <c r="H328" s="9" t="s">
        <v>1667</v>
      </c>
      <c r="I328" s="9" t="s">
        <v>2433</v>
      </c>
      <c r="J328" s="9" t="s">
        <v>3070</v>
      </c>
      <c r="K328" s="9" t="s">
        <v>1659</v>
      </c>
      <c r="L328" s="9" t="s">
        <v>1660</v>
      </c>
      <c r="M328" s="9" t="s">
        <v>1661</v>
      </c>
      <c r="N328" s="9" t="s">
        <v>1662</v>
      </c>
    </row>
    <row r="329" customFormat="false" ht="54.75" hidden="false" customHeight="true" outlineLevel="0" collapsed="false">
      <c r="A329" s="9" t="s">
        <v>3074</v>
      </c>
      <c r="B329" s="9" t="s">
        <v>1428</v>
      </c>
      <c r="C329" s="9" t="n">
        <v>6</v>
      </c>
      <c r="D329" s="9" t="s">
        <v>1652</v>
      </c>
      <c r="E329" s="9" t="s">
        <v>3075</v>
      </c>
      <c r="F329" s="9" t="s">
        <v>3076</v>
      </c>
      <c r="G329" s="9" t="s">
        <v>1931</v>
      </c>
      <c r="H329" s="9" t="s">
        <v>2098</v>
      </c>
      <c r="I329" s="9" t="s">
        <v>2433</v>
      </c>
      <c r="J329" s="9" t="s">
        <v>3070</v>
      </c>
      <c r="K329" s="9" t="s">
        <v>1659</v>
      </c>
      <c r="L329" s="9" t="s">
        <v>1660</v>
      </c>
      <c r="M329" s="9" t="s">
        <v>1661</v>
      </c>
      <c r="N329" s="9" t="s">
        <v>1662</v>
      </c>
    </row>
    <row r="330" customFormat="false" ht="41.25" hidden="false" customHeight="true" outlineLevel="0" collapsed="false">
      <c r="A330" s="9" t="s">
        <v>3077</v>
      </c>
      <c r="B330" s="9" t="s">
        <v>1428</v>
      </c>
      <c r="C330" s="9" t="n">
        <v>7</v>
      </c>
      <c r="D330" s="9" t="s">
        <v>1676</v>
      </c>
      <c r="E330" s="9" t="s">
        <v>1677</v>
      </c>
      <c r="F330" s="9" t="s">
        <v>1434</v>
      </c>
      <c r="G330" s="9" t="s">
        <v>1679</v>
      </c>
      <c r="H330" s="9" t="s">
        <v>1680</v>
      </c>
      <c r="I330" s="9" t="s">
        <v>3078</v>
      </c>
      <c r="J330" s="9" t="s">
        <v>3079</v>
      </c>
      <c r="K330" s="9" t="s">
        <v>1683</v>
      </c>
      <c r="L330" s="9" t="s">
        <v>1684</v>
      </c>
      <c r="M330" s="9" t="s">
        <v>1685</v>
      </c>
      <c r="N330" s="9" t="s">
        <v>1686</v>
      </c>
    </row>
    <row r="331" customFormat="false" ht="41.25" hidden="false" customHeight="true" outlineLevel="0" collapsed="false">
      <c r="A331" s="9" t="s">
        <v>3080</v>
      </c>
      <c r="B331" s="9" t="s">
        <v>1450</v>
      </c>
      <c r="C331" s="9" t="n">
        <v>1</v>
      </c>
      <c r="D331" s="9" t="s">
        <v>1631</v>
      </c>
      <c r="E331" s="9" t="s">
        <v>3081</v>
      </c>
      <c r="F331" s="9" t="s">
        <v>3082</v>
      </c>
      <c r="G331" s="9" t="s">
        <v>1634</v>
      </c>
      <c r="H331" s="9" t="s">
        <v>3058</v>
      </c>
      <c r="I331" s="9" t="s">
        <v>3059</v>
      </c>
      <c r="J331" s="9" t="s">
        <v>3083</v>
      </c>
      <c r="K331" s="9" t="s">
        <v>1638</v>
      </c>
      <c r="L331" s="9" t="s">
        <v>1639</v>
      </c>
      <c r="M331" s="9" t="s">
        <v>562</v>
      </c>
      <c r="N331" s="9" t="s">
        <v>1640</v>
      </c>
    </row>
    <row r="332" customFormat="false" ht="41.25" hidden="false" customHeight="true" outlineLevel="0" collapsed="false">
      <c r="A332" s="9" t="s">
        <v>3084</v>
      </c>
      <c r="B332" s="9" t="s">
        <v>1450</v>
      </c>
      <c r="C332" s="9" t="n">
        <v>2</v>
      </c>
      <c r="D332" s="9" t="s">
        <v>1631</v>
      </c>
      <c r="E332" s="9" t="s">
        <v>3085</v>
      </c>
      <c r="F332" s="9" t="s">
        <v>3086</v>
      </c>
      <c r="G332" s="9" t="s">
        <v>1634</v>
      </c>
      <c r="H332" s="9" t="s">
        <v>3087</v>
      </c>
      <c r="I332" s="9" t="s">
        <v>3088</v>
      </c>
      <c r="J332" s="9" t="s">
        <v>3083</v>
      </c>
      <c r="K332" s="9" t="s">
        <v>1638</v>
      </c>
      <c r="L332" s="9" t="s">
        <v>1639</v>
      </c>
      <c r="M332" s="9" t="s">
        <v>562</v>
      </c>
      <c r="N332" s="9" t="s">
        <v>1640</v>
      </c>
    </row>
    <row r="333" customFormat="false" ht="41.25" hidden="false" customHeight="true" outlineLevel="0" collapsed="false">
      <c r="A333" s="9" t="s">
        <v>3089</v>
      </c>
      <c r="B333" s="9" t="s">
        <v>1450</v>
      </c>
      <c r="C333" s="9" t="n">
        <v>3</v>
      </c>
      <c r="D333" s="9" t="s">
        <v>1631</v>
      </c>
      <c r="E333" s="9" t="s">
        <v>3042</v>
      </c>
      <c r="F333" s="9" t="s">
        <v>3043</v>
      </c>
      <c r="G333" s="9" t="s">
        <v>1634</v>
      </c>
      <c r="H333" s="9" t="s">
        <v>3090</v>
      </c>
      <c r="I333" s="9" t="s">
        <v>3091</v>
      </c>
      <c r="J333" s="9" t="s">
        <v>3083</v>
      </c>
      <c r="K333" s="9" t="s">
        <v>1638</v>
      </c>
      <c r="L333" s="9" t="s">
        <v>1639</v>
      </c>
      <c r="M333" s="9" t="s">
        <v>562</v>
      </c>
      <c r="N333" s="9" t="s">
        <v>1640</v>
      </c>
    </row>
    <row r="334" customFormat="false" ht="54.75" hidden="false" customHeight="true" outlineLevel="0" collapsed="false">
      <c r="A334" s="9" t="s">
        <v>3092</v>
      </c>
      <c r="B334" s="9" t="s">
        <v>1450</v>
      </c>
      <c r="C334" s="9" t="n">
        <v>4</v>
      </c>
      <c r="D334" s="9" t="s">
        <v>1652</v>
      </c>
      <c r="E334" s="9" t="s">
        <v>3093</v>
      </c>
      <c r="F334" s="9" t="s">
        <v>3094</v>
      </c>
      <c r="G334" s="9" t="s">
        <v>2163</v>
      </c>
      <c r="H334" s="9" t="s">
        <v>1667</v>
      </c>
      <c r="I334" s="9" t="s">
        <v>3095</v>
      </c>
      <c r="J334" s="9" t="s">
        <v>3096</v>
      </c>
      <c r="K334" s="9" t="s">
        <v>1659</v>
      </c>
      <c r="L334" s="9" t="s">
        <v>1660</v>
      </c>
      <c r="M334" s="9" t="s">
        <v>1661</v>
      </c>
      <c r="N334" s="9" t="s">
        <v>1662</v>
      </c>
    </row>
    <row r="335" customFormat="false" ht="54.75" hidden="false" customHeight="true" outlineLevel="0" collapsed="false">
      <c r="A335" s="9" t="s">
        <v>3097</v>
      </c>
      <c r="B335" s="9" t="s">
        <v>1450</v>
      </c>
      <c r="C335" s="9" t="n">
        <v>5</v>
      </c>
      <c r="D335" s="9" t="s">
        <v>1652</v>
      </c>
      <c r="E335" s="9" t="s">
        <v>2787</v>
      </c>
      <c r="F335" s="9" t="s">
        <v>2788</v>
      </c>
      <c r="G335" s="9" t="s">
        <v>1931</v>
      </c>
      <c r="H335" s="9" t="s">
        <v>1754</v>
      </c>
      <c r="I335" s="9" t="s">
        <v>3098</v>
      </c>
      <c r="J335" s="9" t="s">
        <v>3096</v>
      </c>
      <c r="K335" s="9" t="s">
        <v>1659</v>
      </c>
      <c r="L335" s="9" t="s">
        <v>1660</v>
      </c>
      <c r="M335" s="9" t="s">
        <v>1661</v>
      </c>
      <c r="N335" s="9" t="s">
        <v>1662</v>
      </c>
    </row>
    <row r="336" customFormat="false" ht="54.75" hidden="false" customHeight="true" outlineLevel="0" collapsed="false">
      <c r="A336" s="9" t="s">
        <v>3099</v>
      </c>
      <c r="B336" s="9" t="s">
        <v>1450</v>
      </c>
      <c r="C336" s="9" t="n">
        <v>6</v>
      </c>
      <c r="D336" s="9" t="s">
        <v>1652</v>
      </c>
      <c r="E336" s="9" t="s">
        <v>2217</v>
      </c>
      <c r="F336" s="9" t="s">
        <v>2218</v>
      </c>
      <c r="G336" s="9" t="s">
        <v>2849</v>
      </c>
      <c r="H336" s="9" t="s">
        <v>1713</v>
      </c>
      <c r="I336" s="9" t="s">
        <v>3100</v>
      </c>
      <c r="J336" s="9" t="s">
        <v>3096</v>
      </c>
      <c r="K336" s="9" t="s">
        <v>1659</v>
      </c>
      <c r="L336" s="9" t="s">
        <v>1660</v>
      </c>
      <c r="M336" s="9" t="s">
        <v>1661</v>
      </c>
      <c r="N336" s="9" t="s">
        <v>1662</v>
      </c>
    </row>
    <row r="337" customFormat="false" ht="41.25" hidden="false" customHeight="true" outlineLevel="0" collapsed="false">
      <c r="A337" s="9" t="s">
        <v>3101</v>
      </c>
      <c r="B337" s="9" t="s">
        <v>1450</v>
      </c>
      <c r="C337" s="9" t="n">
        <v>7</v>
      </c>
      <c r="D337" s="9" t="s">
        <v>1676</v>
      </c>
      <c r="E337" s="9" t="s">
        <v>1677</v>
      </c>
      <c r="F337" s="9" t="s">
        <v>1458</v>
      </c>
      <c r="G337" s="9" t="s">
        <v>1679</v>
      </c>
      <c r="H337" s="9" t="s">
        <v>1680</v>
      </c>
      <c r="I337" s="9" t="s">
        <v>3102</v>
      </c>
      <c r="J337" s="9" t="s">
        <v>3103</v>
      </c>
      <c r="K337" s="9" t="s">
        <v>1683</v>
      </c>
      <c r="L337" s="9" t="s">
        <v>1684</v>
      </c>
      <c r="M337" s="9" t="s">
        <v>1685</v>
      </c>
      <c r="N337" s="9" t="s">
        <v>1686</v>
      </c>
    </row>
    <row r="338" customFormat="false" ht="41.25" hidden="false" customHeight="true" outlineLevel="0" collapsed="false">
      <c r="A338" s="9" t="s">
        <v>3104</v>
      </c>
      <c r="B338" s="9" t="s">
        <v>1470</v>
      </c>
      <c r="C338" s="9" t="n">
        <v>1</v>
      </c>
      <c r="D338" s="9" t="s">
        <v>1631</v>
      </c>
      <c r="E338" s="9" t="s">
        <v>3105</v>
      </c>
      <c r="F338" s="9" t="s">
        <v>3106</v>
      </c>
      <c r="G338" s="9" t="s">
        <v>1634</v>
      </c>
      <c r="H338" s="9" t="s">
        <v>2720</v>
      </c>
      <c r="I338" s="9" t="s">
        <v>2721</v>
      </c>
      <c r="J338" s="9" t="s">
        <v>3107</v>
      </c>
      <c r="K338" s="9" t="s">
        <v>1638</v>
      </c>
      <c r="L338" s="9" t="s">
        <v>1639</v>
      </c>
      <c r="M338" s="9" t="s">
        <v>562</v>
      </c>
      <c r="N338" s="9" t="s">
        <v>1640</v>
      </c>
    </row>
    <row r="339" customFormat="false" ht="41.25" hidden="false" customHeight="true" outlineLevel="0" collapsed="false">
      <c r="A339" s="9" t="s">
        <v>3108</v>
      </c>
      <c r="B339" s="9" t="s">
        <v>1470</v>
      </c>
      <c r="C339" s="9" t="n">
        <v>2</v>
      </c>
      <c r="D339" s="9" t="s">
        <v>1631</v>
      </c>
      <c r="E339" s="9" t="s">
        <v>2827</v>
      </c>
      <c r="F339" s="9" t="s">
        <v>2828</v>
      </c>
      <c r="G339" s="9" t="s">
        <v>1634</v>
      </c>
      <c r="H339" s="9" t="s">
        <v>2324</v>
      </c>
      <c r="I339" s="9" t="s">
        <v>2325</v>
      </c>
      <c r="J339" s="9" t="s">
        <v>3107</v>
      </c>
      <c r="K339" s="9" t="s">
        <v>1638</v>
      </c>
      <c r="L339" s="9" t="s">
        <v>1639</v>
      </c>
      <c r="M339" s="9" t="s">
        <v>562</v>
      </c>
      <c r="N339" s="9" t="s">
        <v>1640</v>
      </c>
    </row>
    <row r="340" customFormat="false" ht="41.25" hidden="false" customHeight="true" outlineLevel="0" collapsed="false">
      <c r="A340" s="9" t="s">
        <v>3109</v>
      </c>
      <c r="B340" s="9" t="s">
        <v>1470</v>
      </c>
      <c r="C340" s="9" t="n">
        <v>3</v>
      </c>
      <c r="D340" s="9" t="s">
        <v>1631</v>
      </c>
      <c r="E340" s="9" t="s">
        <v>3110</v>
      </c>
      <c r="F340" s="9" t="s">
        <v>3111</v>
      </c>
      <c r="G340" s="9" t="s">
        <v>1634</v>
      </c>
      <c r="H340" s="9" t="s">
        <v>3112</v>
      </c>
      <c r="I340" s="9" t="s">
        <v>3113</v>
      </c>
      <c r="J340" s="9" t="s">
        <v>3107</v>
      </c>
      <c r="K340" s="9" t="s">
        <v>1638</v>
      </c>
      <c r="L340" s="9" t="s">
        <v>1639</v>
      </c>
      <c r="M340" s="9" t="s">
        <v>562</v>
      </c>
      <c r="N340" s="9" t="s">
        <v>1640</v>
      </c>
    </row>
    <row r="341" customFormat="false" ht="54.75" hidden="false" customHeight="true" outlineLevel="0" collapsed="false">
      <c r="A341" s="9" t="s">
        <v>3114</v>
      </c>
      <c r="B341" s="9" t="s">
        <v>1470</v>
      </c>
      <c r="C341" s="9" t="n">
        <v>4</v>
      </c>
      <c r="D341" s="9" t="s">
        <v>1652</v>
      </c>
      <c r="E341" s="9" t="s">
        <v>3115</v>
      </c>
      <c r="F341" s="9" t="s">
        <v>3116</v>
      </c>
      <c r="G341" s="9" t="s">
        <v>2347</v>
      </c>
      <c r="H341" s="9" t="s">
        <v>2061</v>
      </c>
      <c r="I341" s="9" t="s">
        <v>3117</v>
      </c>
      <c r="J341" s="9" t="s">
        <v>3118</v>
      </c>
      <c r="K341" s="9" t="s">
        <v>1659</v>
      </c>
      <c r="L341" s="9" t="s">
        <v>1660</v>
      </c>
      <c r="M341" s="9" t="s">
        <v>1661</v>
      </c>
      <c r="N341" s="9" t="s">
        <v>1662</v>
      </c>
    </row>
    <row r="342" customFormat="false" ht="54.75" hidden="false" customHeight="true" outlineLevel="0" collapsed="false">
      <c r="A342" s="9" t="s">
        <v>3119</v>
      </c>
      <c r="B342" s="9" t="s">
        <v>1470</v>
      </c>
      <c r="C342" s="9" t="n">
        <v>5</v>
      </c>
      <c r="D342" s="9" t="s">
        <v>1652</v>
      </c>
      <c r="E342" s="9" t="s">
        <v>3120</v>
      </c>
      <c r="F342" s="9" t="s">
        <v>3121</v>
      </c>
      <c r="G342" s="9" t="s">
        <v>3122</v>
      </c>
      <c r="H342" s="9" t="s">
        <v>2254</v>
      </c>
      <c r="I342" s="9" t="s">
        <v>3123</v>
      </c>
      <c r="J342" s="9" t="s">
        <v>3118</v>
      </c>
      <c r="K342" s="9" t="s">
        <v>1659</v>
      </c>
      <c r="L342" s="9" t="s">
        <v>1660</v>
      </c>
      <c r="M342" s="9" t="s">
        <v>1661</v>
      </c>
      <c r="N342" s="9" t="s">
        <v>1662</v>
      </c>
    </row>
    <row r="343" customFormat="false" ht="54.75" hidden="false" customHeight="true" outlineLevel="0" collapsed="false">
      <c r="A343" s="9" t="s">
        <v>3124</v>
      </c>
      <c r="B343" s="9" t="s">
        <v>1470</v>
      </c>
      <c r="C343" s="9" t="n">
        <v>6</v>
      </c>
      <c r="D343" s="9" t="s">
        <v>1652</v>
      </c>
      <c r="E343" s="9" t="s">
        <v>3125</v>
      </c>
      <c r="F343" s="9" t="s">
        <v>3126</v>
      </c>
      <c r="G343" s="9" t="s">
        <v>1931</v>
      </c>
      <c r="H343" s="9" t="s">
        <v>1754</v>
      </c>
      <c r="I343" s="9" t="s">
        <v>3127</v>
      </c>
      <c r="J343" s="9" t="s">
        <v>3118</v>
      </c>
      <c r="K343" s="9" t="s">
        <v>1659</v>
      </c>
      <c r="L343" s="9" t="s">
        <v>1660</v>
      </c>
      <c r="M343" s="9" t="s">
        <v>1661</v>
      </c>
      <c r="N343" s="9" t="s">
        <v>1662</v>
      </c>
    </row>
    <row r="344" customFormat="false" ht="41.25" hidden="false" customHeight="true" outlineLevel="0" collapsed="false">
      <c r="A344" s="9" t="s">
        <v>3128</v>
      </c>
      <c r="B344" s="9" t="s">
        <v>1470</v>
      </c>
      <c r="C344" s="9" t="n">
        <v>7</v>
      </c>
      <c r="D344" s="9" t="s">
        <v>1676</v>
      </c>
      <c r="E344" s="9" t="s">
        <v>1677</v>
      </c>
      <c r="F344" s="9" t="s">
        <v>1476</v>
      </c>
      <c r="G344" s="9" t="s">
        <v>1679</v>
      </c>
      <c r="H344" s="9" t="s">
        <v>1680</v>
      </c>
      <c r="I344" s="9" t="s">
        <v>3129</v>
      </c>
      <c r="J344" s="9" t="s">
        <v>3130</v>
      </c>
      <c r="K344" s="9" t="s">
        <v>1683</v>
      </c>
      <c r="L344" s="9" t="s">
        <v>1684</v>
      </c>
      <c r="M344" s="9" t="s">
        <v>1685</v>
      </c>
      <c r="N344" s="9" t="s">
        <v>1686</v>
      </c>
    </row>
    <row r="345" customFormat="false" ht="41.25" hidden="false" customHeight="true" outlineLevel="0" collapsed="false">
      <c r="A345" s="9" t="s">
        <v>3131</v>
      </c>
      <c r="B345" s="9" t="s">
        <v>1490</v>
      </c>
      <c r="C345" s="9" t="n">
        <v>1</v>
      </c>
      <c r="D345" s="9" t="s">
        <v>1631</v>
      </c>
      <c r="E345" s="9" t="s">
        <v>3132</v>
      </c>
      <c r="F345" s="9" t="s">
        <v>3133</v>
      </c>
      <c r="G345" s="9" t="s">
        <v>1634</v>
      </c>
      <c r="H345" s="9" t="s">
        <v>3134</v>
      </c>
      <c r="I345" s="9" t="s">
        <v>3135</v>
      </c>
      <c r="J345" s="9" t="s">
        <v>3136</v>
      </c>
      <c r="K345" s="9" t="s">
        <v>1638</v>
      </c>
      <c r="L345" s="9" t="s">
        <v>1639</v>
      </c>
      <c r="M345" s="9" t="s">
        <v>562</v>
      </c>
      <c r="N345" s="9" t="s">
        <v>1640</v>
      </c>
    </row>
    <row r="346" customFormat="false" ht="41.25" hidden="false" customHeight="true" outlineLevel="0" collapsed="false">
      <c r="A346" s="9" t="s">
        <v>3137</v>
      </c>
      <c r="B346" s="9" t="s">
        <v>1490</v>
      </c>
      <c r="C346" s="9" t="n">
        <v>2</v>
      </c>
      <c r="D346" s="9" t="s">
        <v>1631</v>
      </c>
      <c r="E346" s="9" t="s">
        <v>3110</v>
      </c>
      <c r="F346" s="9" t="s">
        <v>3111</v>
      </c>
      <c r="G346" s="9" t="s">
        <v>1634</v>
      </c>
      <c r="H346" s="9" t="s">
        <v>3112</v>
      </c>
      <c r="I346" s="9" t="s">
        <v>3113</v>
      </c>
      <c r="J346" s="9" t="s">
        <v>3136</v>
      </c>
      <c r="K346" s="9" t="s">
        <v>1638</v>
      </c>
      <c r="L346" s="9" t="s">
        <v>1639</v>
      </c>
      <c r="M346" s="9" t="s">
        <v>562</v>
      </c>
      <c r="N346" s="9" t="s">
        <v>1640</v>
      </c>
    </row>
    <row r="347" customFormat="false" ht="41.25" hidden="false" customHeight="true" outlineLevel="0" collapsed="false">
      <c r="A347" s="9" t="s">
        <v>3138</v>
      </c>
      <c r="B347" s="9" t="s">
        <v>1490</v>
      </c>
      <c r="C347" s="9" t="n">
        <v>3</v>
      </c>
      <c r="D347" s="9" t="s">
        <v>1631</v>
      </c>
      <c r="E347" s="9" t="s">
        <v>3139</v>
      </c>
      <c r="F347" s="9" t="s">
        <v>3140</v>
      </c>
      <c r="G347" s="9" t="s">
        <v>1634</v>
      </c>
      <c r="H347" s="9" t="s">
        <v>3141</v>
      </c>
      <c r="I347" s="9" t="s">
        <v>3142</v>
      </c>
      <c r="J347" s="9" t="s">
        <v>3136</v>
      </c>
      <c r="K347" s="9" t="s">
        <v>1638</v>
      </c>
      <c r="L347" s="9" t="s">
        <v>1639</v>
      </c>
      <c r="M347" s="9" t="s">
        <v>562</v>
      </c>
      <c r="N347" s="9" t="s">
        <v>1640</v>
      </c>
    </row>
    <row r="348" customFormat="false" ht="54.75" hidden="false" customHeight="true" outlineLevel="0" collapsed="false">
      <c r="A348" s="9" t="s">
        <v>3143</v>
      </c>
      <c r="B348" s="9" t="s">
        <v>1490</v>
      </c>
      <c r="C348" s="9" t="n">
        <v>4</v>
      </c>
      <c r="D348" s="9" t="s">
        <v>1652</v>
      </c>
      <c r="E348" s="9" t="s">
        <v>3144</v>
      </c>
      <c r="F348" s="9" t="s">
        <v>3145</v>
      </c>
      <c r="G348" s="9" t="s">
        <v>3146</v>
      </c>
      <c r="H348" s="9" t="s">
        <v>1713</v>
      </c>
      <c r="I348" s="9" t="s">
        <v>3147</v>
      </c>
      <c r="J348" s="9" t="s">
        <v>3148</v>
      </c>
      <c r="K348" s="9" t="s">
        <v>1659</v>
      </c>
      <c r="L348" s="9" t="s">
        <v>1660</v>
      </c>
      <c r="M348" s="9" t="s">
        <v>1661</v>
      </c>
      <c r="N348" s="9" t="s">
        <v>1662</v>
      </c>
    </row>
    <row r="349" customFormat="false" ht="54.75" hidden="false" customHeight="true" outlineLevel="0" collapsed="false">
      <c r="A349" s="9" t="s">
        <v>3149</v>
      </c>
      <c r="B349" s="9" t="s">
        <v>1490</v>
      </c>
      <c r="C349" s="9" t="n">
        <v>5</v>
      </c>
      <c r="D349" s="9" t="s">
        <v>1652</v>
      </c>
      <c r="E349" s="9" t="s">
        <v>3150</v>
      </c>
      <c r="F349" s="9" t="s">
        <v>3151</v>
      </c>
      <c r="G349" s="9" t="s">
        <v>2060</v>
      </c>
      <c r="H349" s="9" t="s">
        <v>1754</v>
      </c>
      <c r="I349" s="9" t="s">
        <v>2706</v>
      </c>
      <c r="J349" s="9" t="s">
        <v>3148</v>
      </c>
      <c r="K349" s="9" t="s">
        <v>1659</v>
      </c>
      <c r="L349" s="9" t="s">
        <v>1660</v>
      </c>
      <c r="M349" s="9" t="s">
        <v>1661</v>
      </c>
      <c r="N349" s="9" t="s">
        <v>1662</v>
      </c>
    </row>
    <row r="350" customFormat="false" ht="54.75" hidden="false" customHeight="true" outlineLevel="0" collapsed="false">
      <c r="A350" s="9" t="s">
        <v>3152</v>
      </c>
      <c r="B350" s="9" t="s">
        <v>1490</v>
      </c>
      <c r="C350" s="9" t="n">
        <v>6</v>
      </c>
      <c r="D350" s="9" t="s">
        <v>1652</v>
      </c>
      <c r="E350" s="9" t="s">
        <v>3153</v>
      </c>
      <c r="F350" s="9" t="s">
        <v>3154</v>
      </c>
      <c r="G350" s="9" t="s">
        <v>1931</v>
      </c>
      <c r="H350" s="9" t="s">
        <v>1754</v>
      </c>
      <c r="I350" s="9" t="s">
        <v>2533</v>
      </c>
      <c r="J350" s="9" t="s">
        <v>3148</v>
      </c>
      <c r="K350" s="9" t="s">
        <v>1659</v>
      </c>
      <c r="L350" s="9" t="s">
        <v>1660</v>
      </c>
      <c r="M350" s="9" t="s">
        <v>1661</v>
      </c>
      <c r="N350" s="9" t="s">
        <v>1662</v>
      </c>
    </row>
    <row r="351" customFormat="false" ht="41.25" hidden="false" customHeight="true" outlineLevel="0" collapsed="false">
      <c r="A351" s="9" t="s">
        <v>3155</v>
      </c>
      <c r="B351" s="9" t="s">
        <v>1490</v>
      </c>
      <c r="C351" s="9" t="n">
        <v>7</v>
      </c>
      <c r="D351" s="9" t="s">
        <v>1676</v>
      </c>
      <c r="E351" s="9" t="s">
        <v>1677</v>
      </c>
      <c r="F351" s="9" t="s">
        <v>1497</v>
      </c>
      <c r="G351" s="9" t="s">
        <v>1679</v>
      </c>
      <c r="H351" s="9" t="s">
        <v>1680</v>
      </c>
      <c r="I351" s="9" t="s">
        <v>3156</v>
      </c>
      <c r="J351" s="9" t="s">
        <v>3157</v>
      </c>
      <c r="K351" s="9" t="s">
        <v>1683</v>
      </c>
      <c r="L351" s="9" t="s">
        <v>1684</v>
      </c>
      <c r="M351" s="9" t="s">
        <v>1685</v>
      </c>
      <c r="N351" s="9" t="s">
        <v>1686</v>
      </c>
    </row>
  </sheetData>
  <dataValidations count="1">
    <dataValidation allowBlank="false" errorStyle="stop" operator="between" showDropDown="false" showErrorMessage="false" showInputMessage="false" sqref="D2:D351" type="list">
      <formula1>Lists!$D$2:$D$4</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1" width="14"/>
    <col collapsed="false" customWidth="true" hidden="false" outlineLevel="0" max="2" min="2" style="1" width="24"/>
    <col collapsed="false" customWidth="true" hidden="false" outlineLevel="0" max="3" min="3" style="1" width="22"/>
    <col collapsed="false" customWidth="true" hidden="false" outlineLevel="0" max="5" min="4" style="1" width="30"/>
    <col collapsed="false" customWidth="true" hidden="false" outlineLevel="0" max="9" min="6" style="1" width="40"/>
    <col collapsed="false" customWidth="true" hidden="false" outlineLevel="0" max="11" min="10" style="1" width="30"/>
  </cols>
  <sheetData>
    <row r="1" customFormat="false" ht="45" hidden="false" customHeight="true" outlineLevel="0" collapsed="false">
      <c r="A1" s="10" t="s">
        <v>3158</v>
      </c>
      <c r="B1" s="10" t="s">
        <v>94</v>
      </c>
      <c r="C1" s="10" t="s">
        <v>96</v>
      </c>
      <c r="D1" s="10" t="s">
        <v>3159</v>
      </c>
      <c r="E1" s="10" t="s">
        <v>3160</v>
      </c>
      <c r="F1" s="10" t="s">
        <v>3161</v>
      </c>
      <c r="G1" s="10" t="s">
        <v>100</v>
      </c>
      <c r="H1" s="10" t="s">
        <v>3162</v>
      </c>
      <c r="I1" s="10" t="s">
        <v>3163</v>
      </c>
      <c r="J1" s="10" t="s">
        <v>3164</v>
      </c>
      <c r="K1" s="10" t="s">
        <v>3165</v>
      </c>
    </row>
    <row r="2" customFormat="false" ht="54.75" hidden="false" customHeight="true" outlineLevel="0" collapsed="false">
      <c r="A2" s="9" t="s">
        <v>3166</v>
      </c>
      <c r="B2" s="9" t="s">
        <v>156</v>
      </c>
      <c r="C2" s="9" t="s">
        <v>158</v>
      </c>
      <c r="D2" s="9" t="s">
        <v>181</v>
      </c>
      <c r="E2" s="9" t="s">
        <v>160</v>
      </c>
      <c r="F2" s="9" t="s">
        <v>3167</v>
      </c>
      <c r="G2" s="9" t="s">
        <v>3168</v>
      </c>
      <c r="H2" s="9" t="s">
        <v>3169</v>
      </c>
      <c r="I2" s="9" t="s">
        <v>3170</v>
      </c>
      <c r="J2" s="9" t="s">
        <v>3171</v>
      </c>
      <c r="K2" s="9" t="s">
        <v>3172</v>
      </c>
    </row>
    <row r="3" customFormat="false" ht="54.75" hidden="false" customHeight="true" outlineLevel="0" collapsed="false">
      <c r="A3" s="9" t="s">
        <v>3166</v>
      </c>
      <c r="B3" s="9" t="s">
        <v>156</v>
      </c>
      <c r="C3" s="9" t="s">
        <v>215</v>
      </c>
      <c r="D3" s="9" t="s">
        <v>231</v>
      </c>
      <c r="E3" s="9" t="s">
        <v>217</v>
      </c>
      <c r="F3" s="9" t="s">
        <v>3173</v>
      </c>
      <c r="G3" s="9" t="s">
        <v>3174</v>
      </c>
      <c r="H3" s="9" t="s">
        <v>3175</v>
      </c>
      <c r="I3" s="9" t="s">
        <v>3176</v>
      </c>
      <c r="J3" s="9" t="s">
        <v>3177</v>
      </c>
      <c r="K3" s="9" t="s">
        <v>3178</v>
      </c>
    </row>
    <row r="4" customFormat="false" ht="54.75" hidden="false" customHeight="true" outlineLevel="0" collapsed="false">
      <c r="A4" s="9" t="s">
        <v>3166</v>
      </c>
      <c r="B4" s="9" t="s">
        <v>156</v>
      </c>
      <c r="C4" s="9" t="s">
        <v>332</v>
      </c>
      <c r="D4" s="9" t="s">
        <v>333</v>
      </c>
      <c r="E4" s="9" t="s">
        <v>319</v>
      </c>
      <c r="F4" s="9" t="s">
        <v>3179</v>
      </c>
      <c r="G4" s="9" t="s">
        <v>3180</v>
      </c>
      <c r="H4" s="9" t="s">
        <v>3181</v>
      </c>
      <c r="I4" s="9" t="s">
        <v>3182</v>
      </c>
      <c r="J4" s="9" t="s">
        <v>3183</v>
      </c>
      <c r="K4" s="9" t="s">
        <v>3184</v>
      </c>
    </row>
    <row r="5" customFormat="false" ht="41.25" hidden="false" customHeight="true" outlineLevel="0" collapsed="false">
      <c r="A5" s="9" t="s">
        <v>3166</v>
      </c>
      <c r="B5" s="9" t="s">
        <v>156</v>
      </c>
      <c r="C5" s="9" t="s">
        <v>332</v>
      </c>
      <c r="D5" s="9" t="s">
        <v>565</v>
      </c>
      <c r="E5" s="9" t="s">
        <v>567</v>
      </c>
      <c r="F5" s="9" t="s">
        <v>3185</v>
      </c>
      <c r="G5" s="9" t="s">
        <v>3186</v>
      </c>
      <c r="H5" s="9" t="s">
        <v>3187</v>
      </c>
      <c r="I5" s="9" t="s">
        <v>3188</v>
      </c>
      <c r="J5" s="9" t="s">
        <v>3189</v>
      </c>
      <c r="K5" s="9" t="s">
        <v>3190</v>
      </c>
    </row>
    <row r="6" customFormat="false" ht="68.25" hidden="false" customHeight="true" outlineLevel="0" collapsed="false">
      <c r="A6" s="9" t="s">
        <v>3166</v>
      </c>
      <c r="B6" s="9" t="s">
        <v>156</v>
      </c>
      <c r="C6" s="9" t="s">
        <v>268</v>
      </c>
      <c r="D6" s="9" t="s">
        <v>269</v>
      </c>
      <c r="E6" s="9" t="s">
        <v>271</v>
      </c>
      <c r="F6" s="9" t="s">
        <v>3191</v>
      </c>
      <c r="G6" s="9" t="s">
        <v>3192</v>
      </c>
      <c r="H6" s="9" t="s">
        <v>3193</v>
      </c>
      <c r="I6" s="9" t="s">
        <v>3194</v>
      </c>
      <c r="J6" s="9" t="s">
        <v>3195</v>
      </c>
      <c r="K6" s="9" t="s">
        <v>3196</v>
      </c>
    </row>
    <row r="7" customFormat="false" ht="41.25" hidden="false" customHeight="true" outlineLevel="0" collapsed="false">
      <c r="A7" s="9" t="s">
        <v>3166</v>
      </c>
      <c r="B7" s="9" t="s">
        <v>156</v>
      </c>
      <c r="C7" s="9" t="s">
        <v>299</v>
      </c>
      <c r="D7" s="9" t="s">
        <v>300</v>
      </c>
      <c r="E7" s="9" t="s">
        <v>302</v>
      </c>
      <c r="F7" s="9" t="s">
        <v>3197</v>
      </c>
      <c r="G7" s="9" t="s">
        <v>3198</v>
      </c>
      <c r="H7" s="9" t="s">
        <v>3199</v>
      </c>
      <c r="I7" s="9" t="s">
        <v>3200</v>
      </c>
      <c r="J7" s="9" t="s">
        <v>3201</v>
      </c>
      <c r="K7" s="9" t="s">
        <v>3202</v>
      </c>
    </row>
    <row r="8" customFormat="false" ht="68.25" hidden="false" customHeight="true" outlineLevel="0" collapsed="false">
      <c r="A8" s="9" t="s">
        <v>3166</v>
      </c>
      <c r="B8" s="9" t="s">
        <v>156</v>
      </c>
      <c r="C8" s="9" t="s">
        <v>638</v>
      </c>
      <c r="D8" s="9" t="s">
        <v>649</v>
      </c>
      <c r="E8" s="9" t="s">
        <v>651</v>
      </c>
      <c r="F8" s="9" t="s">
        <v>3203</v>
      </c>
      <c r="G8" s="9" t="s">
        <v>3204</v>
      </c>
      <c r="H8" s="9" t="s">
        <v>3205</v>
      </c>
      <c r="I8" s="9" t="s">
        <v>3206</v>
      </c>
      <c r="J8" s="9" t="s">
        <v>3207</v>
      </c>
      <c r="K8" s="9" t="s">
        <v>3208</v>
      </c>
    </row>
    <row r="9" customFormat="false" ht="41.25" hidden="false" customHeight="true" outlineLevel="0" collapsed="false">
      <c r="A9" s="9" t="s">
        <v>3166</v>
      </c>
      <c r="B9" s="9" t="s">
        <v>156</v>
      </c>
      <c r="C9" s="9" t="s">
        <v>420</v>
      </c>
      <c r="D9" s="9" t="s">
        <v>421</v>
      </c>
      <c r="E9" s="9" t="s">
        <v>423</v>
      </c>
      <c r="F9" s="9" t="s">
        <v>3209</v>
      </c>
      <c r="G9" s="9" t="s">
        <v>3210</v>
      </c>
      <c r="H9" s="9" t="s">
        <v>3211</v>
      </c>
      <c r="I9" s="9" t="s">
        <v>3212</v>
      </c>
      <c r="J9" s="9" t="s">
        <v>3213</v>
      </c>
      <c r="K9" s="9" t="s">
        <v>3214</v>
      </c>
    </row>
    <row r="10" customFormat="false" ht="54.75" hidden="false" customHeight="true" outlineLevel="0" collapsed="false">
      <c r="A10" s="9" t="s">
        <v>3166</v>
      </c>
      <c r="B10" s="9" t="s">
        <v>156</v>
      </c>
      <c r="C10" s="9" t="s">
        <v>332</v>
      </c>
      <c r="D10" s="9" t="s">
        <v>607</v>
      </c>
      <c r="E10" s="9" t="s">
        <v>609</v>
      </c>
      <c r="F10" s="9" t="s">
        <v>3215</v>
      </c>
      <c r="G10" s="9" t="s">
        <v>3216</v>
      </c>
      <c r="H10" s="9" t="s">
        <v>3217</v>
      </c>
      <c r="I10" s="9" t="s">
        <v>3218</v>
      </c>
      <c r="J10" s="9" t="s">
        <v>3219</v>
      </c>
      <c r="K10" s="9" t="s">
        <v>3220</v>
      </c>
    </row>
    <row r="11" customFormat="false" ht="68.25" hidden="false" customHeight="true" outlineLevel="0" collapsed="false">
      <c r="A11" s="9" t="s">
        <v>3166</v>
      </c>
      <c r="B11" s="9" t="s">
        <v>156</v>
      </c>
      <c r="C11" s="9" t="s">
        <v>158</v>
      </c>
      <c r="D11" s="9" t="s">
        <v>450</v>
      </c>
      <c r="E11" s="9" t="s">
        <v>452</v>
      </c>
      <c r="F11" s="9" t="s">
        <v>3221</v>
      </c>
      <c r="G11" s="9" t="s">
        <v>3222</v>
      </c>
      <c r="H11" s="9" t="s">
        <v>3223</v>
      </c>
      <c r="I11" s="9" t="s">
        <v>3224</v>
      </c>
      <c r="J11" s="9" t="s">
        <v>3225</v>
      </c>
      <c r="K11" s="9" t="s">
        <v>3226</v>
      </c>
    </row>
    <row r="12" customFormat="false" ht="81.75" hidden="false" customHeight="true" outlineLevel="0" collapsed="false">
      <c r="A12" s="9" t="s">
        <v>3227</v>
      </c>
      <c r="B12" s="9" t="s">
        <v>663</v>
      </c>
      <c r="C12" s="9" t="s">
        <v>681</v>
      </c>
      <c r="D12" s="9" t="s">
        <v>682</v>
      </c>
      <c r="E12" s="9" t="s">
        <v>667</v>
      </c>
      <c r="F12" s="9" t="s">
        <v>3228</v>
      </c>
      <c r="G12" s="9" t="s">
        <v>3229</v>
      </c>
      <c r="H12" s="9" t="s">
        <v>3230</v>
      </c>
      <c r="I12" s="9" t="s">
        <v>3231</v>
      </c>
      <c r="J12" s="9" t="s">
        <v>3232</v>
      </c>
      <c r="K12" s="9" t="s">
        <v>3233</v>
      </c>
    </row>
    <row r="13" customFormat="false" ht="68.25" hidden="false" customHeight="true" outlineLevel="0" collapsed="false">
      <c r="A13" s="9" t="s">
        <v>3227</v>
      </c>
      <c r="B13" s="9" t="s">
        <v>663</v>
      </c>
      <c r="C13" s="9" t="s">
        <v>158</v>
      </c>
      <c r="D13" s="9" t="s">
        <v>714</v>
      </c>
      <c r="E13" s="9" t="s">
        <v>703</v>
      </c>
      <c r="F13" s="9" t="s">
        <v>3234</v>
      </c>
      <c r="G13" s="9" t="s">
        <v>3235</v>
      </c>
      <c r="H13" s="9" t="s">
        <v>3236</v>
      </c>
      <c r="I13" s="9" t="s">
        <v>3237</v>
      </c>
      <c r="J13" s="9" t="s">
        <v>3238</v>
      </c>
      <c r="K13" s="9" t="s">
        <v>3239</v>
      </c>
    </row>
    <row r="14" customFormat="false" ht="81.75" hidden="false" customHeight="true" outlineLevel="0" collapsed="false">
      <c r="A14" s="9" t="s">
        <v>3227</v>
      </c>
      <c r="B14" s="9" t="s">
        <v>663</v>
      </c>
      <c r="C14" s="9" t="s">
        <v>803</v>
      </c>
      <c r="D14" s="9" t="s">
        <v>1054</v>
      </c>
      <c r="E14" s="9" t="s">
        <v>1056</v>
      </c>
      <c r="F14" s="9" t="s">
        <v>3240</v>
      </c>
      <c r="G14" s="9" t="s">
        <v>3241</v>
      </c>
      <c r="H14" s="9" t="s">
        <v>3242</v>
      </c>
      <c r="I14" s="9" t="s">
        <v>3243</v>
      </c>
      <c r="J14" s="9" t="s">
        <v>3244</v>
      </c>
      <c r="K14" s="9" t="s">
        <v>3245</v>
      </c>
    </row>
    <row r="15" customFormat="false" ht="41.25" hidden="false" customHeight="true" outlineLevel="0" collapsed="false">
      <c r="A15" s="9" t="s">
        <v>3227</v>
      </c>
      <c r="B15" s="9" t="s">
        <v>663</v>
      </c>
      <c r="C15" s="9" t="s">
        <v>745</v>
      </c>
      <c r="D15" s="9" t="s">
        <v>746</v>
      </c>
      <c r="E15" s="9" t="s">
        <v>748</v>
      </c>
      <c r="F15" s="9" t="s">
        <v>3246</v>
      </c>
      <c r="G15" s="9" t="s">
        <v>3247</v>
      </c>
      <c r="H15" s="9" t="s">
        <v>3248</v>
      </c>
      <c r="I15" s="9" t="s">
        <v>3249</v>
      </c>
      <c r="J15" s="9" t="s">
        <v>3250</v>
      </c>
      <c r="K15" s="9" t="s">
        <v>3251</v>
      </c>
    </row>
    <row r="16" customFormat="false" ht="41.25" hidden="false" customHeight="true" outlineLevel="0" collapsed="false">
      <c r="A16" s="9" t="s">
        <v>3227</v>
      </c>
      <c r="B16" s="9" t="s">
        <v>663</v>
      </c>
      <c r="C16" s="9" t="s">
        <v>961</v>
      </c>
      <c r="D16" s="9" t="s">
        <v>962</v>
      </c>
      <c r="E16" s="9" t="s">
        <v>964</v>
      </c>
      <c r="F16" s="9" t="s">
        <v>3252</v>
      </c>
      <c r="G16" s="9" t="s">
        <v>3253</v>
      </c>
      <c r="H16" s="9" t="s">
        <v>3254</v>
      </c>
      <c r="I16" s="9" t="s">
        <v>3255</v>
      </c>
      <c r="J16" s="9" t="s">
        <v>3256</v>
      </c>
      <c r="K16" s="9" t="s">
        <v>3257</v>
      </c>
    </row>
    <row r="17" customFormat="false" ht="68.25" hidden="false" customHeight="true" outlineLevel="0" collapsed="false">
      <c r="A17" s="9" t="s">
        <v>3227</v>
      </c>
      <c r="B17" s="9" t="s">
        <v>663</v>
      </c>
      <c r="C17" s="9" t="s">
        <v>1003</v>
      </c>
      <c r="D17" s="9" t="s">
        <v>1011</v>
      </c>
      <c r="E17" s="9" t="s">
        <v>1013</v>
      </c>
      <c r="F17" s="9" t="s">
        <v>3258</v>
      </c>
      <c r="G17" s="9" t="s">
        <v>3259</v>
      </c>
      <c r="H17" s="9" t="s">
        <v>3260</v>
      </c>
      <c r="I17" s="9" t="s">
        <v>3261</v>
      </c>
      <c r="J17" s="9" t="s">
        <v>3262</v>
      </c>
      <c r="K17" s="9" t="s">
        <v>3263</v>
      </c>
    </row>
    <row r="18" customFormat="false" ht="54.75" hidden="false" customHeight="true" outlineLevel="0" collapsed="false">
      <c r="A18" s="9" t="s">
        <v>3227</v>
      </c>
      <c r="B18" s="9" t="s">
        <v>663</v>
      </c>
      <c r="C18" s="9" t="s">
        <v>880</v>
      </c>
      <c r="D18" s="9" t="s">
        <v>881</v>
      </c>
      <c r="E18" s="9" t="s">
        <v>883</v>
      </c>
      <c r="F18" s="9" t="s">
        <v>3264</v>
      </c>
      <c r="G18" s="9" t="s">
        <v>3265</v>
      </c>
      <c r="H18" s="9" t="s">
        <v>3266</v>
      </c>
      <c r="I18" s="9" t="s">
        <v>3267</v>
      </c>
      <c r="J18" s="9" t="s">
        <v>3268</v>
      </c>
      <c r="K18" s="9" t="s">
        <v>3269</v>
      </c>
    </row>
    <row r="19" customFormat="false" ht="54.75" hidden="false" customHeight="true" outlineLevel="0" collapsed="false">
      <c r="A19" s="9" t="s">
        <v>3227</v>
      </c>
      <c r="B19" s="9" t="s">
        <v>663</v>
      </c>
      <c r="C19" s="9" t="s">
        <v>158</v>
      </c>
      <c r="D19" s="9" t="s">
        <v>1074</v>
      </c>
      <c r="E19" s="9" t="s">
        <v>1076</v>
      </c>
      <c r="F19" s="9" t="s">
        <v>3270</v>
      </c>
      <c r="G19" s="9" t="s">
        <v>3271</v>
      </c>
      <c r="H19" s="9" t="s">
        <v>3272</v>
      </c>
      <c r="I19" s="9" t="s">
        <v>3273</v>
      </c>
      <c r="J19" s="9" t="s">
        <v>3274</v>
      </c>
      <c r="K19" s="9" t="s">
        <v>3275</v>
      </c>
    </row>
    <row r="20" customFormat="false" ht="54.75" hidden="false" customHeight="true" outlineLevel="0" collapsed="false">
      <c r="A20" s="9" t="s">
        <v>3227</v>
      </c>
      <c r="B20" s="9" t="s">
        <v>663</v>
      </c>
      <c r="C20" s="9" t="s">
        <v>1024</v>
      </c>
      <c r="D20" s="9" t="s">
        <v>1032</v>
      </c>
      <c r="E20" s="9" t="s">
        <v>1034</v>
      </c>
      <c r="F20" s="9" t="s">
        <v>3276</v>
      </c>
      <c r="G20" s="9" t="s">
        <v>3277</v>
      </c>
      <c r="H20" s="9" t="s">
        <v>3278</v>
      </c>
      <c r="I20" s="9" t="s">
        <v>3279</v>
      </c>
      <c r="J20" s="9" t="s">
        <v>3280</v>
      </c>
      <c r="K20" s="9" t="s">
        <v>3281</v>
      </c>
    </row>
    <row r="21" customFormat="false" ht="68.25" hidden="false" customHeight="true" outlineLevel="0" collapsed="false">
      <c r="A21" s="9" t="s">
        <v>3227</v>
      </c>
      <c r="B21" s="9" t="s">
        <v>663</v>
      </c>
      <c r="C21" s="9" t="s">
        <v>803</v>
      </c>
      <c r="D21" s="9" t="s">
        <v>804</v>
      </c>
      <c r="E21" s="9" t="s">
        <v>806</v>
      </c>
      <c r="F21" s="9" t="s">
        <v>3282</v>
      </c>
      <c r="G21" s="9" t="s">
        <v>3283</v>
      </c>
      <c r="H21" s="9" t="s">
        <v>3284</v>
      </c>
      <c r="I21" s="9" t="s">
        <v>3285</v>
      </c>
      <c r="J21" s="9" t="s">
        <v>3286</v>
      </c>
      <c r="K21" s="9" t="s">
        <v>3287</v>
      </c>
    </row>
    <row r="22" customFormat="false" ht="54.75" hidden="false" customHeight="true" outlineLevel="0" collapsed="false">
      <c r="A22" s="9" t="s">
        <v>3288</v>
      </c>
      <c r="B22" s="9" t="s">
        <v>1106</v>
      </c>
      <c r="C22" s="9" t="s">
        <v>1408</v>
      </c>
      <c r="D22" s="9" t="s">
        <v>1438</v>
      </c>
      <c r="E22" s="9" t="s">
        <v>1440</v>
      </c>
      <c r="F22" s="9" t="s">
        <v>3289</v>
      </c>
      <c r="G22" s="9" t="s">
        <v>3290</v>
      </c>
      <c r="H22" s="9" t="s">
        <v>3291</v>
      </c>
      <c r="I22" s="9" t="s">
        <v>3292</v>
      </c>
      <c r="J22" s="9" t="s">
        <v>3293</v>
      </c>
      <c r="K22" s="9" t="s">
        <v>3294</v>
      </c>
    </row>
    <row r="23" customFormat="false" ht="54.75" hidden="false" customHeight="true" outlineLevel="0" collapsed="false">
      <c r="A23" s="9" t="s">
        <v>3288</v>
      </c>
      <c r="B23" s="9" t="s">
        <v>1106</v>
      </c>
      <c r="C23" s="9" t="s">
        <v>1124</v>
      </c>
      <c r="D23" s="9" t="s">
        <v>1125</v>
      </c>
      <c r="E23" s="9" t="s">
        <v>1110</v>
      </c>
      <c r="F23" s="9" t="s">
        <v>3295</v>
      </c>
      <c r="G23" s="9" t="s">
        <v>3296</v>
      </c>
      <c r="H23" s="9" t="s">
        <v>3297</v>
      </c>
      <c r="I23" s="9" t="s">
        <v>3298</v>
      </c>
      <c r="J23" s="9" t="s">
        <v>3299</v>
      </c>
      <c r="K23" s="9" t="s">
        <v>3300</v>
      </c>
    </row>
    <row r="24" customFormat="false" ht="41.25" hidden="false" customHeight="true" outlineLevel="0" collapsed="false">
      <c r="A24" s="9" t="s">
        <v>3288</v>
      </c>
      <c r="B24" s="9" t="s">
        <v>1106</v>
      </c>
      <c r="C24" s="9" t="s">
        <v>1209</v>
      </c>
      <c r="D24" s="9" t="s">
        <v>1210</v>
      </c>
      <c r="E24" s="9" t="s">
        <v>1212</v>
      </c>
      <c r="F24" s="9" t="s">
        <v>3301</v>
      </c>
      <c r="G24" s="9" t="s">
        <v>3302</v>
      </c>
      <c r="H24" s="9" t="s">
        <v>3303</v>
      </c>
      <c r="I24" s="9" t="s">
        <v>3304</v>
      </c>
      <c r="J24" s="9" t="s">
        <v>3305</v>
      </c>
      <c r="K24" s="9" t="s">
        <v>3306</v>
      </c>
    </row>
    <row r="25" customFormat="false" ht="41.25" hidden="false" customHeight="true" outlineLevel="0" collapsed="false">
      <c r="A25" s="9" t="s">
        <v>3288</v>
      </c>
      <c r="B25" s="9" t="s">
        <v>1106</v>
      </c>
      <c r="C25" s="9" t="s">
        <v>745</v>
      </c>
      <c r="D25" s="9" t="s">
        <v>1156</v>
      </c>
      <c r="E25" s="9" t="s">
        <v>1158</v>
      </c>
      <c r="F25" s="9" t="s">
        <v>3307</v>
      </c>
      <c r="G25" s="9" t="s">
        <v>3308</v>
      </c>
      <c r="H25" s="9" t="s">
        <v>3309</v>
      </c>
      <c r="I25" s="9" t="s">
        <v>3310</v>
      </c>
      <c r="J25" s="9" t="s">
        <v>3311</v>
      </c>
      <c r="K25" s="9" t="s">
        <v>3312</v>
      </c>
    </row>
    <row r="26" customFormat="false" ht="41.25" hidden="false" customHeight="true" outlineLevel="0" collapsed="false">
      <c r="A26" s="9" t="s">
        <v>3288</v>
      </c>
      <c r="B26" s="9" t="s">
        <v>1106</v>
      </c>
      <c r="C26" s="9" t="s">
        <v>1317</v>
      </c>
      <c r="D26" s="9" t="s">
        <v>1318</v>
      </c>
      <c r="E26" s="9" t="s">
        <v>1320</v>
      </c>
      <c r="F26" s="9" t="s">
        <v>3313</v>
      </c>
      <c r="G26" s="9" t="s">
        <v>3314</v>
      </c>
      <c r="H26" s="9" t="s">
        <v>3315</v>
      </c>
      <c r="I26" s="9" t="s">
        <v>3316</v>
      </c>
      <c r="J26" s="9" t="s">
        <v>3317</v>
      </c>
      <c r="K26" s="9" t="s">
        <v>3318</v>
      </c>
    </row>
    <row r="27" customFormat="false" ht="41.25" hidden="false" customHeight="true" outlineLevel="0" collapsed="false">
      <c r="A27" s="9" t="s">
        <v>3288</v>
      </c>
      <c r="B27" s="9" t="s">
        <v>1106</v>
      </c>
      <c r="C27" s="9" t="s">
        <v>1388</v>
      </c>
      <c r="D27" s="9" t="s">
        <v>1396</v>
      </c>
      <c r="E27" s="9" t="s">
        <v>1398</v>
      </c>
      <c r="F27" s="9" t="s">
        <v>3319</v>
      </c>
      <c r="G27" s="9" t="s">
        <v>3320</v>
      </c>
      <c r="H27" s="9" t="s">
        <v>3321</v>
      </c>
      <c r="I27" s="9" t="s">
        <v>3322</v>
      </c>
      <c r="J27" s="9" t="s">
        <v>3323</v>
      </c>
      <c r="K27" s="9" t="s">
        <v>3324</v>
      </c>
    </row>
    <row r="28" customFormat="false" ht="41.25" hidden="false" customHeight="true" outlineLevel="0" collapsed="false">
      <c r="A28" s="9" t="s">
        <v>3288</v>
      </c>
      <c r="B28" s="9" t="s">
        <v>1106</v>
      </c>
      <c r="C28" s="9" t="s">
        <v>1408</v>
      </c>
      <c r="D28" s="9" t="s">
        <v>1417</v>
      </c>
      <c r="E28" s="9" t="s">
        <v>1419</v>
      </c>
      <c r="F28" s="9" t="s">
        <v>3325</v>
      </c>
      <c r="G28" s="9" t="s">
        <v>3326</v>
      </c>
      <c r="H28" s="9" t="s">
        <v>3327</v>
      </c>
      <c r="I28" s="9" t="s">
        <v>3328</v>
      </c>
      <c r="J28" s="9" t="s">
        <v>3329</v>
      </c>
      <c r="K28" s="9" t="s">
        <v>3330</v>
      </c>
    </row>
    <row r="29" customFormat="false" ht="54.75" hidden="false" customHeight="true" outlineLevel="0" collapsed="false">
      <c r="A29" s="9" t="s">
        <v>3288</v>
      </c>
      <c r="B29" s="9" t="s">
        <v>1106</v>
      </c>
      <c r="C29" s="9" t="s">
        <v>1452</v>
      </c>
      <c r="D29" s="9" t="s">
        <v>1460</v>
      </c>
      <c r="E29" s="9" t="s">
        <v>1462</v>
      </c>
      <c r="F29" s="9" t="s">
        <v>3331</v>
      </c>
      <c r="G29" s="9" t="s">
        <v>3332</v>
      </c>
      <c r="H29" s="9" t="s">
        <v>3333</v>
      </c>
      <c r="I29" s="9" t="s">
        <v>3334</v>
      </c>
      <c r="J29" s="9" t="s">
        <v>3335</v>
      </c>
      <c r="K29" s="9" t="s">
        <v>3324</v>
      </c>
    </row>
    <row r="30" customFormat="false" ht="41.25" hidden="false" customHeight="true" outlineLevel="0" collapsed="false">
      <c r="A30" s="9" t="s">
        <v>3288</v>
      </c>
      <c r="B30" s="9" t="s">
        <v>1106</v>
      </c>
      <c r="C30" s="9" t="s">
        <v>1317</v>
      </c>
      <c r="D30" s="9" t="s">
        <v>1478</v>
      </c>
      <c r="E30" s="9" t="s">
        <v>1480</v>
      </c>
      <c r="F30" s="9" t="s">
        <v>3336</v>
      </c>
      <c r="G30" s="9" t="s">
        <v>3337</v>
      </c>
      <c r="H30" s="9" t="s">
        <v>3338</v>
      </c>
      <c r="I30" s="9" t="s">
        <v>3339</v>
      </c>
      <c r="J30" s="9" t="s">
        <v>3340</v>
      </c>
      <c r="K30" s="9" t="s">
        <v>3324</v>
      </c>
    </row>
    <row r="31" customFormat="false" ht="41.25" hidden="false" customHeight="true" outlineLevel="0" collapsed="false">
      <c r="A31" s="9" t="s">
        <v>3288</v>
      </c>
      <c r="B31" s="9" t="s">
        <v>1106</v>
      </c>
      <c r="C31" s="9" t="s">
        <v>1346</v>
      </c>
      <c r="D31" s="9" t="s">
        <v>1347</v>
      </c>
      <c r="E31" s="9" t="s">
        <v>1349</v>
      </c>
      <c r="F31" s="9" t="s">
        <v>3341</v>
      </c>
      <c r="G31" s="9" t="s">
        <v>3342</v>
      </c>
      <c r="H31" s="9" t="s">
        <v>3343</v>
      </c>
      <c r="I31" s="9" t="s">
        <v>3344</v>
      </c>
      <c r="J31" s="9" t="s">
        <v>3345</v>
      </c>
      <c r="K31" s="9" t="s">
        <v>3346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1" width="16"/>
    <col collapsed="false" customWidth="true" hidden="false" outlineLevel="0" max="2" min="2" style="1" width="26"/>
    <col collapsed="false" customWidth="true" hidden="false" outlineLevel="0" max="3" min="3" style="1" width="12"/>
    <col collapsed="false" customWidth="true" hidden="false" outlineLevel="0" max="4" min="4" style="1" width="26"/>
    <col collapsed="false" customWidth="true" hidden="false" outlineLevel="0" max="5" min="5" style="1" width="30"/>
    <col collapsed="false" customWidth="true" hidden="false" outlineLevel="0" max="6" min="6" style="1" width="40"/>
    <col collapsed="false" customWidth="true" hidden="false" outlineLevel="0" max="7" min="7" style="1" width="18"/>
    <col collapsed="false" customWidth="true" hidden="false" outlineLevel="0" max="8" min="8" style="1" width="16"/>
    <col collapsed="false" customWidth="true" hidden="false" outlineLevel="0" max="9" min="9" style="1" width="12"/>
    <col collapsed="false" customWidth="true" hidden="false" outlineLevel="0" max="10" min="10" style="1" width="28"/>
    <col collapsed="false" customWidth="true" hidden="false" outlineLevel="0" max="11" min="11" style="1" width="50"/>
    <col collapsed="false" customWidth="true" hidden="false" outlineLevel="0" max="12" min="12" style="1" width="22"/>
    <col collapsed="false" customWidth="true" hidden="false" outlineLevel="0" max="13" min="13" style="1" width="60"/>
  </cols>
  <sheetData>
    <row r="1" customFormat="false" ht="41.25" hidden="false" customHeight="true" outlineLevel="0" collapsed="false">
      <c r="A1" s="7" t="s">
        <v>91</v>
      </c>
      <c r="B1" s="7" t="s">
        <v>94</v>
      </c>
      <c r="C1" s="7" t="s">
        <v>106</v>
      </c>
      <c r="D1" s="7" t="s">
        <v>3347</v>
      </c>
      <c r="E1" s="7" t="s">
        <v>3348</v>
      </c>
      <c r="F1" s="7" t="s">
        <v>3349</v>
      </c>
      <c r="G1" s="7" t="s">
        <v>3350</v>
      </c>
      <c r="H1" s="7" t="s">
        <v>3351</v>
      </c>
      <c r="I1" s="7" t="s">
        <v>3352</v>
      </c>
      <c r="J1" s="7" t="s">
        <v>3353</v>
      </c>
      <c r="K1" s="7" t="s">
        <v>3354</v>
      </c>
      <c r="L1" s="7" t="s">
        <v>1576</v>
      </c>
      <c r="M1" s="7" t="s">
        <v>3355</v>
      </c>
    </row>
    <row r="2" customFormat="false" ht="41.25" hidden="false" customHeight="true" outlineLevel="0" collapsed="false">
      <c r="A2" s="9" t="s">
        <v>465</v>
      </c>
      <c r="B2" s="9" t="s">
        <v>156</v>
      </c>
      <c r="C2" s="9" t="s">
        <v>168</v>
      </c>
      <c r="D2" s="9" t="s">
        <v>332</v>
      </c>
      <c r="E2" s="9" t="s">
        <v>3356</v>
      </c>
      <c r="F2" s="9" t="s">
        <v>3357</v>
      </c>
      <c r="G2" s="9" t="s">
        <v>1560</v>
      </c>
      <c r="H2" s="9" t="s">
        <v>3358</v>
      </c>
      <c r="I2" s="9" t="s">
        <v>474</v>
      </c>
      <c r="J2" s="9" t="s">
        <v>468</v>
      </c>
      <c r="K2" s="9" t="s">
        <v>484</v>
      </c>
      <c r="L2" s="9" t="s">
        <v>1561</v>
      </c>
      <c r="M2" s="9" t="s">
        <v>3359</v>
      </c>
    </row>
    <row r="3" customFormat="false" ht="41.25" hidden="false" customHeight="true" outlineLevel="0" collapsed="false">
      <c r="A3" s="9" t="s">
        <v>495</v>
      </c>
      <c r="B3" s="9" t="s">
        <v>156</v>
      </c>
      <c r="C3" s="9" t="s">
        <v>168</v>
      </c>
      <c r="D3" s="9" t="s">
        <v>332</v>
      </c>
      <c r="E3" s="9" t="s">
        <v>3360</v>
      </c>
      <c r="F3" s="9" t="s">
        <v>3361</v>
      </c>
      <c r="G3" s="9" t="s">
        <v>1562</v>
      </c>
      <c r="H3" s="9" t="s">
        <v>3362</v>
      </c>
      <c r="I3" s="9" t="s">
        <v>504</v>
      </c>
      <c r="J3" s="9" t="s">
        <v>498</v>
      </c>
      <c r="K3" s="9" t="s">
        <v>510</v>
      </c>
      <c r="L3" s="9" t="s">
        <v>1561</v>
      </c>
      <c r="M3" s="9" t="s">
        <v>3359</v>
      </c>
    </row>
    <row r="4" customFormat="false" ht="41.25" hidden="false" customHeight="true" outlineLevel="0" collapsed="false">
      <c r="A4" s="9" t="s">
        <v>522</v>
      </c>
      <c r="B4" s="9" t="s">
        <v>156</v>
      </c>
      <c r="C4" s="9" t="s">
        <v>168</v>
      </c>
      <c r="D4" s="9" t="s">
        <v>268</v>
      </c>
      <c r="E4" s="9" t="s">
        <v>3363</v>
      </c>
      <c r="F4" s="9" t="s">
        <v>3364</v>
      </c>
      <c r="G4" s="9" t="s">
        <v>1563</v>
      </c>
      <c r="H4" s="9" t="s">
        <v>3365</v>
      </c>
      <c r="I4" s="9" t="s">
        <v>532</v>
      </c>
      <c r="J4" s="9" t="s">
        <v>525</v>
      </c>
      <c r="K4" s="9" t="s">
        <v>539</v>
      </c>
      <c r="L4" s="9" t="s">
        <v>1561</v>
      </c>
      <c r="M4" s="9" t="s">
        <v>3359</v>
      </c>
    </row>
    <row r="5" customFormat="false" ht="41.25" hidden="false" customHeight="true" outlineLevel="0" collapsed="false">
      <c r="A5" s="9" t="s">
        <v>760</v>
      </c>
      <c r="B5" s="9" t="s">
        <v>663</v>
      </c>
      <c r="C5" s="9" t="s">
        <v>674</v>
      </c>
      <c r="D5" s="9" t="s">
        <v>3366</v>
      </c>
      <c r="E5" s="9" t="s">
        <v>3367</v>
      </c>
      <c r="F5" s="9" t="s">
        <v>3368</v>
      </c>
      <c r="G5" s="9" t="s">
        <v>1564</v>
      </c>
      <c r="H5" s="9" t="s">
        <v>3369</v>
      </c>
      <c r="I5" s="9" t="s">
        <v>772</v>
      </c>
      <c r="J5" s="9" t="s">
        <v>765</v>
      </c>
      <c r="K5" s="9" t="s">
        <v>779</v>
      </c>
      <c r="L5" s="9" t="s">
        <v>1561</v>
      </c>
      <c r="M5" s="9" t="s">
        <v>3359</v>
      </c>
    </row>
    <row r="6" customFormat="false" ht="41.25" hidden="false" customHeight="true" outlineLevel="0" collapsed="false">
      <c r="A6" s="9" t="s">
        <v>841</v>
      </c>
      <c r="B6" s="9" t="s">
        <v>663</v>
      </c>
      <c r="C6" s="9" t="s">
        <v>674</v>
      </c>
      <c r="D6" s="9" t="s">
        <v>3370</v>
      </c>
      <c r="E6" s="9" t="s">
        <v>3371</v>
      </c>
      <c r="F6" s="9" t="s">
        <v>3372</v>
      </c>
      <c r="G6" s="9" t="s">
        <v>1565</v>
      </c>
      <c r="H6" s="9" t="s">
        <v>3365</v>
      </c>
      <c r="I6" s="9" t="s">
        <v>851</v>
      </c>
      <c r="J6" s="9" t="s">
        <v>845</v>
      </c>
      <c r="K6" s="9" t="s">
        <v>855</v>
      </c>
      <c r="L6" s="9" t="s">
        <v>1561</v>
      </c>
      <c r="M6" s="9" t="s">
        <v>3359</v>
      </c>
    </row>
    <row r="7" customFormat="false" ht="41.25" hidden="false" customHeight="true" outlineLevel="0" collapsed="false">
      <c r="A7" s="9" t="s">
        <v>921</v>
      </c>
      <c r="B7" s="9" t="s">
        <v>663</v>
      </c>
      <c r="C7" s="9" t="s">
        <v>674</v>
      </c>
      <c r="D7" s="9" t="s">
        <v>3373</v>
      </c>
      <c r="E7" s="9" t="s">
        <v>3374</v>
      </c>
      <c r="F7" s="9" t="s">
        <v>3375</v>
      </c>
      <c r="G7" s="9" t="s">
        <v>1566</v>
      </c>
      <c r="H7" s="9" t="s">
        <v>3376</v>
      </c>
      <c r="I7" s="9" t="s">
        <v>931</v>
      </c>
      <c r="J7" s="9" t="s">
        <v>925</v>
      </c>
      <c r="K7" s="9" t="s">
        <v>936</v>
      </c>
      <c r="L7" s="9" t="s">
        <v>1561</v>
      </c>
      <c r="M7" s="9" t="s">
        <v>3359</v>
      </c>
    </row>
    <row r="8" customFormat="false" ht="41.25" hidden="false" customHeight="true" outlineLevel="0" collapsed="false">
      <c r="A8" s="9" t="s">
        <v>1086</v>
      </c>
      <c r="B8" s="9" t="s">
        <v>663</v>
      </c>
      <c r="C8" s="9" t="s">
        <v>674</v>
      </c>
      <c r="D8" s="9" t="s">
        <v>1567</v>
      </c>
      <c r="E8" s="9" t="s">
        <v>3377</v>
      </c>
      <c r="F8" s="9" t="s">
        <v>3378</v>
      </c>
      <c r="G8" s="9" t="s">
        <v>1568</v>
      </c>
      <c r="H8" s="9" t="s">
        <v>3379</v>
      </c>
      <c r="I8" s="9" t="s">
        <v>799</v>
      </c>
      <c r="J8" s="9" t="s">
        <v>793</v>
      </c>
      <c r="K8" s="9" t="s">
        <v>1096</v>
      </c>
      <c r="L8" s="9" t="s">
        <v>1561</v>
      </c>
      <c r="M8" s="9" t="s">
        <v>3359</v>
      </c>
    </row>
    <row r="9" customFormat="false" ht="41.25" hidden="false" customHeight="true" outlineLevel="0" collapsed="false">
      <c r="A9" s="9" t="s">
        <v>1251</v>
      </c>
      <c r="B9" s="9" t="s">
        <v>1106</v>
      </c>
      <c r="C9" s="9" t="s">
        <v>1117</v>
      </c>
      <c r="D9" s="9" t="s">
        <v>3380</v>
      </c>
      <c r="E9" s="9" t="s">
        <v>3381</v>
      </c>
      <c r="F9" s="9" t="s">
        <v>3382</v>
      </c>
      <c r="G9" s="9" t="s">
        <v>1569</v>
      </c>
      <c r="H9" s="9" t="s">
        <v>3383</v>
      </c>
      <c r="I9" s="9" t="s">
        <v>1262</v>
      </c>
      <c r="J9" s="9" t="s">
        <v>1255</v>
      </c>
      <c r="K9" s="9" t="s">
        <v>1269</v>
      </c>
      <c r="L9" s="9" t="s">
        <v>1561</v>
      </c>
      <c r="M9" s="9" t="s">
        <v>3359</v>
      </c>
    </row>
    <row r="10" customFormat="false" ht="41.25" hidden="false" customHeight="true" outlineLevel="0" collapsed="false">
      <c r="A10" s="9" t="s">
        <v>1280</v>
      </c>
      <c r="B10" s="9" t="s">
        <v>1106</v>
      </c>
      <c r="C10" s="9" t="s">
        <v>1117</v>
      </c>
      <c r="D10" s="9" t="s">
        <v>1003</v>
      </c>
      <c r="E10" s="9" t="s">
        <v>3384</v>
      </c>
      <c r="F10" s="9" t="s">
        <v>3385</v>
      </c>
      <c r="G10" s="9" t="s">
        <v>1570</v>
      </c>
      <c r="H10" s="9" t="s">
        <v>3379</v>
      </c>
      <c r="I10" s="9" t="s">
        <v>1290</v>
      </c>
      <c r="J10" s="9" t="s">
        <v>1284</v>
      </c>
      <c r="K10" s="9" t="s">
        <v>1294</v>
      </c>
      <c r="L10" s="9" t="s">
        <v>1561</v>
      </c>
      <c r="M10" s="9" t="s">
        <v>3359</v>
      </c>
    </row>
    <row r="11" customFormat="false" ht="41.25" hidden="false" customHeight="true" outlineLevel="0" collapsed="false">
      <c r="A11" s="9" t="s">
        <v>1361</v>
      </c>
      <c r="B11" s="9" t="s">
        <v>1106</v>
      </c>
      <c r="C11" s="9" t="s">
        <v>1117</v>
      </c>
      <c r="D11" s="9" t="s">
        <v>268</v>
      </c>
      <c r="E11" s="9" t="s">
        <v>3386</v>
      </c>
      <c r="F11" s="9" t="s">
        <v>3387</v>
      </c>
      <c r="G11" s="9" t="s">
        <v>1571</v>
      </c>
      <c r="H11" s="9" t="s">
        <v>3388</v>
      </c>
      <c r="I11" s="9" t="s">
        <v>1370</v>
      </c>
      <c r="J11" s="9" t="s">
        <v>1364</v>
      </c>
      <c r="K11" s="9" t="s">
        <v>1376</v>
      </c>
      <c r="L11" s="9" t="s">
        <v>1561</v>
      </c>
      <c r="M11" s="9" t="s">
        <v>3359</v>
      </c>
    </row>
    <row r="12" customFormat="false" ht="41.25" hidden="false" customHeight="true" outlineLevel="0" collapsed="false">
      <c r="A12" s="9" t="s">
        <v>1490</v>
      </c>
      <c r="B12" s="9" t="s">
        <v>1106</v>
      </c>
      <c r="C12" s="9" t="s">
        <v>1117</v>
      </c>
      <c r="D12" s="9" t="s">
        <v>1572</v>
      </c>
      <c r="E12" s="9" t="s">
        <v>3389</v>
      </c>
      <c r="F12" s="9" t="s">
        <v>3390</v>
      </c>
      <c r="G12" s="9" t="s">
        <v>1573</v>
      </c>
      <c r="H12" s="9" t="s">
        <v>3391</v>
      </c>
      <c r="I12" s="9" t="s">
        <v>1262</v>
      </c>
      <c r="J12" s="9" t="s">
        <v>1255</v>
      </c>
      <c r="K12" s="9" t="s">
        <v>1500</v>
      </c>
      <c r="L12" s="9" t="s">
        <v>1561</v>
      </c>
      <c r="M12" s="9" t="s">
        <v>3359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1" width="14"/>
    <col collapsed="false" customWidth="true" hidden="false" outlineLevel="0" max="2" min="2" style="1" width="34"/>
    <col collapsed="false" customWidth="true" hidden="false" outlineLevel="0" max="3" min="3" style="1" width="20"/>
    <col collapsed="false" customWidth="true" hidden="false" outlineLevel="0" max="4" min="4" style="1" width="50"/>
    <col collapsed="false" customWidth="true" hidden="false" outlineLevel="0" max="5" min="5" style="1" width="22"/>
  </cols>
  <sheetData>
    <row r="1" customFormat="false" ht="45" hidden="false" customHeight="true" outlineLevel="0" collapsed="false">
      <c r="A1" s="10" t="s">
        <v>3392</v>
      </c>
      <c r="B1" s="10" t="s">
        <v>3393</v>
      </c>
      <c r="C1" s="10" t="s">
        <v>3394</v>
      </c>
      <c r="D1" s="10" t="s">
        <v>3395</v>
      </c>
      <c r="E1" s="10" t="s">
        <v>3396</v>
      </c>
    </row>
    <row r="2" customFormat="false" ht="27.75" hidden="false" customHeight="true" outlineLevel="0" collapsed="false">
      <c r="A2" s="9" t="s">
        <v>1370</v>
      </c>
      <c r="B2" s="9" t="s">
        <v>1364</v>
      </c>
      <c r="C2" s="9" t="s">
        <v>1117</v>
      </c>
      <c r="D2" s="9" t="s">
        <v>3397</v>
      </c>
      <c r="E2" s="9" t="s">
        <v>3398</v>
      </c>
    </row>
    <row r="3" customFormat="false" ht="27.75" hidden="false" customHeight="true" outlineLevel="0" collapsed="false">
      <c r="A3" s="9" t="s">
        <v>325</v>
      </c>
      <c r="B3" s="9" t="s">
        <v>319</v>
      </c>
      <c r="C3" s="9" t="s">
        <v>168</v>
      </c>
      <c r="D3" s="9" t="s">
        <v>3397</v>
      </c>
      <c r="E3" s="9" t="s">
        <v>3398</v>
      </c>
    </row>
    <row r="4" customFormat="false" ht="27.75" hidden="false" customHeight="true" outlineLevel="0" collapsed="false">
      <c r="A4" s="9" t="s">
        <v>1313</v>
      </c>
      <c r="B4" s="9" t="s">
        <v>1307</v>
      </c>
      <c r="C4" s="9" t="s">
        <v>1117</v>
      </c>
      <c r="D4" s="9" t="s">
        <v>3397</v>
      </c>
      <c r="E4" s="9" t="s">
        <v>3398</v>
      </c>
    </row>
    <row r="5" customFormat="false" ht="27.75" hidden="false" customHeight="true" outlineLevel="0" collapsed="false">
      <c r="A5" s="9" t="s">
        <v>1152</v>
      </c>
      <c r="B5" s="9" t="s">
        <v>1159</v>
      </c>
      <c r="C5" s="9" t="s">
        <v>1117</v>
      </c>
      <c r="D5" s="9" t="s">
        <v>3397</v>
      </c>
      <c r="E5" s="9" t="s">
        <v>3398</v>
      </c>
    </row>
    <row r="6" customFormat="false" ht="27.75" hidden="false" customHeight="true" outlineLevel="0" collapsed="false">
      <c r="A6" s="9" t="s">
        <v>1290</v>
      </c>
      <c r="B6" s="9" t="s">
        <v>1284</v>
      </c>
      <c r="C6" s="9" t="s">
        <v>1117</v>
      </c>
      <c r="D6" s="9" t="s">
        <v>3397</v>
      </c>
      <c r="E6" s="9" t="s">
        <v>3398</v>
      </c>
    </row>
    <row r="7" customFormat="false" ht="27.75" hidden="false" customHeight="true" outlineLevel="0" collapsed="false">
      <c r="A7" s="9" t="s">
        <v>1341</v>
      </c>
      <c r="B7" s="9" t="s">
        <v>1335</v>
      </c>
      <c r="C7" s="9" t="s">
        <v>1117</v>
      </c>
      <c r="D7" s="9" t="s">
        <v>3397</v>
      </c>
      <c r="E7" s="9" t="s">
        <v>3398</v>
      </c>
    </row>
    <row r="8" customFormat="false" ht="27.75" hidden="false" customHeight="true" outlineLevel="0" collapsed="false">
      <c r="A8" s="9" t="s">
        <v>1234</v>
      </c>
      <c r="B8" s="9" t="s">
        <v>1227</v>
      </c>
      <c r="C8" s="9" t="s">
        <v>1117</v>
      </c>
      <c r="D8" s="9" t="s">
        <v>3397</v>
      </c>
      <c r="E8" s="9" t="s">
        <v>3398</v>
      </c>
    </row>
    <row r="9" customFormat="false" ht="27.75" hidden="false" customHeight="true" outlineLevel="0" collapsed="false">
      <c r="A9" s="9" t="s">
        <v>504</v>
      </c>
      <c r="B9" s="9" t="s">
        <v>498</v>
      </c>
      <c r="C9" s="9" t="s">
        <v>168</v>
      </c>
      <c r="D9" s="9" t="s">
        <v>3397</v>
      </c>
      <c r="E9" s="9" t="s">
        <v>3398</v>
      </c>
    </row>
    <row r="10" customFormat="false" ht="27.75" hidden="false" customHeight="true" outlineLevel="0" collapsed="false">
      <c r="A10" s="9" t="s">
        <v>260</v>
      </c>
      <c r="B10" s="9" t="s">
        <v>252</v>
      </c>
      <c r="C10" s="9" t="s">
        <v>168</v>
      </c>
      <c r="D10" s="9" t="s">
        <v>3397</v>
      </c>
      <c r="E10" s="9" t="s">
        <v>3398</v>
      </c>
    </row>
    <row r="11" customFormat="false" ht="27.75" hidden="false" customHeight="true" outlineLevel="0" collapsed="false">
      <c r="A11" s="9" t="s">
        <v>444</v>
      </c>
      <c r="B11" s="9" t="s">
        <v>438</v>
      </c>
      <c r="C11" s="9" t="s">
        <v>168</v>
      </c>
      <c r="D11" s="9" t="s">
        <v>3397</v>
      </c>
      <c r="E11" s="9" t="s">
        <v>3398</v>
      </c>
    </row>
    <row r="12" customFormat="false" ht="27.75" hidden="false" customHeight="true" outlineLevel="0" collapsed="false">
      <c r="A12" s="9" t="s">
        <v>1262</v>
      </c>
      <c r="B12" s="9" t="s">
        <v>1255</v>
      </c>
      <c r="C12" s="9" t="s">
        <v>1117</v>
      </c>
      <c r="D12" s="9" t="s">
        <v>3397</v>
      </c>
      <c r="E12" s="9" t="s">
        <v>3398</v>
      </c>
    </row>
    <row r="13" customFormat="false" ht="27.75" hidden="false" customHeight="true" outlineLevel="0" collapsed="false">
      <c r="A13" s="9" t="s">
        <v>684</v>
      </c>
      <c r="B13" s="9" t="s">
        <v>685</v>
      </c>
      <c r="C13" s="9" t="s">
        <v>674</v>
      </c>
      <c r="D13" s="9" t="s">
        <v>3397</v>
      </c>
      <c r="E13" s="9" t="s">
        <v>3398</v>
      </c>
    </row>
    <row r="14" customFormat="false" ht="27.75" hidden="false" customHeight="true" outlineLevel="0" collapsed="false">
      <c r="A14" s="9" t="s">
        <v>1127</v>
      </c>
      <c r="B14" s="9" t="s">
        <v>1128</v>
      </c>
      <c r="C14" s="9" t="s">
        <v>1117</v>
      </c>
      <c r="D14" s="9" t="s">
        <v>3397</v>
      </c>
      <c r="E14" s="9" t="s">
        <v>3398</v>
      </c>
    </row>
    <row r="15" customFormat="false" ht="27.75" hidden="false" customHeight="true" outlineLevel="0" collapsed="false">
      <c r="A15" s="9" t="s">
        <v>293</v>
      </c>
      <c r="B15" s="9" t="s">
        <v>286</v>
      </c>
      <c r="C15" s="9" t="s">
        <v>168</v>
      </c>
      <c r="D15" s="9" t="s">
        <v>3397</v>
      </c>
      <c r="E15" s="9" t="s">
        <v>3398</v>
      </c>
    </row>
    <row r="16" customFormat="false" ht="27.75" hidden="false" customHeight="true" outlineLevel="0" collapsed="false">
      <c r="A16" s="9" t="s">
        <v>224</v>
      </c>
      <c r="B16" s="9" t="s">
        <v>233</v>
      </c>
      <c r="C16" s="9" t="s">
        <v>168</v>
      </c>
      <c r="D16" s="9" t="s">
        <v>3397</v>
      </c>
      <c r="E16" s="9" t="s">
        <v>3398</v>
      </c>
    </row>
    <row r="17" customFormat="false" ht="27.75" hidden="false" customHeight="true" outlineLevel="0" collapsed="false">
      <c r="A17" s="9" t="s">
        <v>986</v>
      </c>
      <c r="B17" s="9" t="s">
        <v>979</v>
      </c>
      <c r="C17" s="9" t="s">
        <v>674</v>
      </c>
      <c r="D17" s="9" t="s">
        <v>3397</v>
      </c>
      <c r="E17" s="9" t="s">
        <v>3398</v>
      </c>
    </row>
    <row r="18" customFormat="false" ht="27.75" hidden="false" customHeight="true" outlineLevel="0" collapsed="false">
      <c r="A18" s="9" t="s">
        <v>709</v>
      </c>
      <c r="B18" s="9" t="s">
        <v>716</v>
      </c>
      <c r="C18" s="9" t="s">
        <v>674</v>
      </c>
      <c r="D18" s="9" t="s">
        <v>3397</v>
      </c>
      <c r="E18" s="9" t="s">
        <v>3398</v>
      </c>
    </row>
    <row r="19" customFormat="false" ht="27.75" hidden="false" customHeight="true" outlineLevel="0" collapsed="false">
      <c r="A19" s="9" t="s">
        <v>799</v>
      </c>
      <c r="B19" s="9" t="s">
        <v>793</v>
      </c>
      <c r="C19" s="9" t="s">
        <v>674</v>
      </c>
      <c r="D19" s="9" t="s">
        <v>3397</v>
      </c>
      <c r="E19" s="9" t="s">
        <v>3398</v>
      </c>
    </row>
    <row r="20" customFormat="false" ht="27.75" hidden="false" customHeight="true" outlineLevel="0" collapsed="false">
      <c r="A20" s="9" t="s">
        <v>772</v>
      </c>
      <c r="B20" s="9" t="s">
        <v>765</v>
      </c>
      <c r="C20" s="9" t="s">
        <v>674</v>
      </c>
      <c r="D20" s="9" t="s">
        <v>3397</v>
      </c>
      <c r="E20" s="9" t="s">
        <v>3398</v>
      </c>
    </row>
    <row r="21" customFormat="false" ht="27.75" hidden="false" customHeight="true" outlineLevel="0" collapsed="false">
      <c r="A21" s="9" t="s">
        <v>874</v>
      </c>
      <c r="B21" s="9" t="s">
        <v>868</v>
      </c>
      <c r="C21" s="9" t="s">
        <v>674</v>
      </c>
      <c r="D21" s="9" t="s">
        <v>3397</v>
      </c>
      <c r="E21" s="9" t="s">
        <v>3398</v>
      </c>
    </row>
    <row r="22" customFormat="false" ht="27.75" hidden="false" customHeight="true" outlineLevel="0" collapsed="false">
      <c r="A22" s="9" t="s">
        <v>741</v>
      </c>
      <c r="B22" s="9" t="s">
        <v>734</v>
      </c>
      <c r="C22" s="9" t="s">
        <v>674</v>
      </c>
      <c r="D22" s="9" t="s">
        <v>3397</v>
      </c>
      <c r="E22" s="9" t="s">
        <v>3398</v>
      </c>
    </row>
    <row r="23" customFormat="false" ht="27.75" hidden="false" customHeight="true" outlineLevel="0" collapsed="false">
      <c r="A23" s="9" t="s">
        <v>956</v>
      </c>
      <c r="B23" s="9" t="s">
        <v>950</v>
      </c>
      <c r="C23" s="9" t="s">
        <v>674</v>
      </c>
      <c r="D23" s="9" t="s">
        <v>3397</v>
      </c>
      <c r="E23" s="9" t="s">
        <v>3398</v>
      </c>
    </row>
    <row r="24" customFormat="false" ht="27.75" hidden="false" customHeight="true" outlineLevel="0" collapsed="false">
      <c r="A24" s="9" t="s">
        <v>931</v>
      </c>
      <c r="B24" s="9" t="s">
        <v>925</v>
      </c>
      <c r="C24" s="9" t="s">
        <v>674</v>
      </c>
      <c r="D24" s="9" t="s">
        <v>3397</v>
      </c>
      <c r="E24" s="9" t="s">
        <v>3398</v>
      </c>
    </row>
    <row r="25" customFormat="false" ht="27.75" hidden="false" customHeight="true" outlineLevel="0" collapsed="false">
      <c r="A25" s="9" t="s">
        <v>414</v>
      </c>
      <c r="B25" s="9" t="s">
        <v>407</v>
      </c>
      <c r="C25" s="9" t="s">
        <v>168</v>
      </c>
      <c r="D25" s="9" t="s">
        <v>3397</v>
      </c>
      <c r="E25" s="9" t="s">
        <v>3398</v>
      </c>
    </row>
    <row r="26" customFormat="false" ht="27.75" hidden="false" customHeight="true" outlineLevel="0" collapsed="false">
      <c r="A26" s="9" t="s">
        <v>385</v>
      </c>
      <c r="B26" s="9" t="s">
        <v>379</v>
      </c>
      <c r="C26" s="9" t="s">
        <v>168</v>
      </c>
      <c r="D26" s="9" t="s">
        <v>3397</v>
      </c>
      <c r="E26" s="9" t="s">
        <v>3398</v>
      </c>
    </row>
    <row r="27" customFormat="false" ht="27.75" hidden="false" customHeight="true" outlineLevel="0" collapsed="false">
      <c r="A27" s="9" t="s">
        <v>851</v>
      </c>
      <c r="B27" s="9" t="s">
        <v>845</v>
      </c>
      <c r="C27" s="9" t="s">
        <v>674</v>
      </c>
      <c r="D27" s="9" t="s">
        <v>3397</v>
      </c>
      <c r="E27" s="9" t="s">
        <v>3398</v>
      </c>
    </row>
    <row r="28" customFormat="false" ht="27.75" hidden="false" customHeight="true" outlineLevel="0" collapsed="false">
      <c r="A28" s="9" t="s">
        <v>532</v>
      </c>
      <c r="B28" s="9" t="s">
        <v>525</v>
      </c>
      <c r="C28" s="9" t="s">
        <v>168</v>
      </c>
      <c r="D28" s="9" t="s">
        <v>3397</v>
      </c>
      <c r="E28" s="9" t="s">
        <v>3398</v>
      </c>
    </row>
    <row r="29" customFormat="false" ht="27.75" hidden="false" customHeight="true" outlineLevel="0" collapsed="false">
      <c r="A29" s="9" t="s">
        <v>474</v>
      </c>
      <c r="B29" s="9" t="s">
        <v>468</v>
      </c>
      <c r="C29" s="9" t="s">
        <v>168</v>
      </c>
      <c r="D29" s="9" t="s">
        <v>3397</v>
      </c>
      <c r="E29" s="9" t="s">
        <v>3398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4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2" min="1" style="1" width="22"/>
    <col collapsed="false" customWidth="true" hidden="false" outlineLevel="0" max="3" min="3" style="1" width="28"/>
    <col collapsed="false" customWidth="true" hidden="false" outlineLevel="0" max="4" min="4" style="1" width="36"/>
    <col collapsed="false" customWidth="true" hidden="false" outlineLevel="0" max="5" min="5" style="1" width="20"/>
    <col collapsed="false" customWidth="true" hidden="false" outlineLevel="0" max="7" min="6" style="1" width="30"/>
    <col collapsed="false" customWidth="true" hidden="false" outlineLevel="0" max="8" min="8" style="1" width="40"/>
    <col collapsed="false" customWidth="true" hidden="false" outlineLevel="0" max="9" min="9" style="1" width="36"/>
    <col collapsed="false" customWidth="true" hidden="false" outlineLevel="0" max="10" min="10" style="1" width="30"/>
    <col collapsed="false" customWidth="true" hidden="false" outlineLevel="0" max="11" min="11" style="1" width="16"/>
    <col collapsed="false" customWidth="true" hidden="false" outlineLevel="0" max="12" min="12" style="1" width="44"/>
  </cols>
  <sheetData>
    <row r="1" customFormat="false" ht="45" hidden="false" customHeight="true" outlineLevel="0" collapsed="false">
      <c r="A1" s="10" t="s">
        <v>94</v>
      </c>
      <c r="B1" s="10" t="s">
        <v>3399</v>
      </c>
      <c r="C1" s="10" t="s">
        <v>3160</v>
      </c>
      <c r="D1" s="10" t="s">
        <v>3400</v>
      </c>
      <c r="E1" s="10" t="s">
        <v>3401</v>
      </c>
      <c r="F1" s="10" t="s">
        <v>3402</v>
      </c>
      <c r="G1" s="10" t="s">
        <v>3403</v>
      </c>
      <c r="H1" s="10" t="s">
        <v>3404</v>
      </c>
      <c r="I1" s="10" t="s">
        <v>3405</v>
      </c>
      <c r="J1" s="10" t="s">
        <v>3406</v>
      </c>
      <c r="K1" s="10" t="s">
        <v>148</v>
      </c>
      <c r="L1" s="10" t="s">
        <v>3407</v>
      </c>
    </row>
    <row r="2" customFormat="false" ht="41.25" hidden="false" customHeight="true" outlineLevel="0" collapsed="false">
      <c r="A2" s="9" t="s">
        <v>156</v>
      </c>
      <c r="B2" s="9" t="s">
        <v>158</v>
      </c>
      <c r="C2" s="9" t="s">
        <v>160</v>
      </c>
      <c r="D2" s="9" t="s">
        <v>3408</v>
      </c>
      <c r="E2" s="9" t="s">
        <v>3409</v>
      </c>
      <c r="F2" s="9" t="s">
        <v>1655</v>
      </c>
      <c r="G2" s="9" t="s">
        <v>3410</v>
      </c>
      <c r="H2" s="9" t="s">
        <v>193</v>
      </c>
      <c r="I2" s="9" t="s">
        <v>3411</v>
      </c>
      <c r="J2" s="9" t="s">
        <v>3412</v>
      </c>
      <c r="K2" s="9" t="s">
        <v>3413</v>
      </c>
      <c r="L2" s="9" t="s">
        <v>3414</v>
      </c>
    </row>
    <row r="3" customFormat="false" ht="41.25" hidden="false" customHeight="true" outlineLevel="0" collapsed="false">
      <c r="A3" s="9" t="s">
        <v>156</v>
      </c>
      <c r="B3" s="9" t="s">
        <v>158</v>
      </c>
      <c r="C3" s="9" t="s">
        <v>160</v>
      </c>
      <c r="D3" s="9" t="s">
        <v>3415</v>
      </c>
      <c r="E3" s="9" t="s">
        <v>3416</v>
      </c>
      <c r="F3" s="9" t="s">
        <v>1666</v>
      </c>
      <c r="G3" s="9" t="s">
        <v>3417</v>
      </c>
      <c r="H3" s="9" t="s">
        <v>193</v>
      </c>
      <c r="I3" s="9" t="s">
        <v>3411</v>
      </c>
      <c r="J3" s="9" t="s">
        <v>3412</v>
      </c>
      <c r="K3" s="9" t="s">
        <v>3413</v>
      </c>
      <c r="L3" s="9" t="s">
        <v>3414</v>
      </c>
    </row>
    <row r="4" customFormat="false" ht="41.25" hidden="false" customHeight="true" outlineLevel="0" collapsed="false">
      <c r="A4" s="9" t="s">
        <v>156</v>
      </c>
      <c r="B4" s="9" t="s">
        <v>158</v>
      </c>
      <c r="C4" s="9" t="s">
        <v>160</v>
      </c>
      <c r="D4" s="9" t="s">
        <v>3418</v>
      </c>
      <c r="E4" s="9" t="s">
        <v>3419</v>
      </c>
      <c r="F4" s="9" t="s">
        <v>1672</v>
      </c>
      <c r="G4" s="9" t="s">
        <v>3420</v>
      </c>
      <c r="H4" s="9" t="s">
        <v>193</v>
      </c>
      <c r="I4" s="9" t="s">
        <v>3411</v>
      </c>
      <c r="J4" s="9" t="s">
        <v>3412</v>
      </c>
      <c r="K4" s="9" t="s">
        <v>3413</v>
      </c>
      <c r="L4" s="9" t="s">
        <v>3414</v>
      </c>
    </row>
    <row r="5" customFormat="false" ht="41.25" hidden="false" customHeight="true" outlineLevel="0" collapsed="false">
      <c r="A5" s="9" t="s">
        <v>156</v>
      </c>
      <c r="B5" s="9" t="s">
        <v>215</v>
      </c>
      <c r="C5" s="9" t="s">
        <v>217</v>
      </c>
      <c r="D5" s="9" t="s">
        <v>3421</v>
      </c>
      <c r="E5" s="9" t="s">
        <v>3416</v>
      </c>
      <c r="F5" s="9" t="s">
        <v>1706</v>
      </c>
      <c r="G5" s="9" t="s">
        <v>3422</v>
      </c>
      <c r="H5" s="9" t="s">
        <v>193</v>
      </c>
      <c r="I5" s="9" t="s">
        <v>3423</v>
      </c>
      <c r="J5" s="9" t="s">
        <v>3412</v>
      </c>
      <c r="K5" s="9" t="s">
        <v>3413</v>
      </c>
      <c r="L5" s="9" t="s">
        <v>3414</v>
      </c>
    </row>
    <row r="6" customFormat="false" ht="41.25" hidden="false" customHeight="true" outlineLevel="0" collapsed="false">
      <c r="A6" s="9" t="s">
        <v>156</v>
      </c>
      <c r="B6" s="9" t="s">
        <v>215</v>
      </c>
      <c r="C6" s="9" t="s">
        <v>217</v>
      </c>
      <c r="D6" s="9" t="s">
        <v>3424</v>
      </c>
      <c r="E6" s="9" t="s">
        <v>3425</v>
      </c>
      <c r="F6" s="9" t="s">
        <v>1712</v>
      </c>
      <c r="G6" s="9" t="s">
        <v>3426</v>
      </c>
      <c r="H6" s="9" t="s">
        <v>193</v>
      </c>
      <c r="I6" s="9" t="s">
        <v>3423</v>
      </c>
      <c r="J6" s="9" t="s">
        <v>3412</v>
      </c>
      <c r="K6" s="9" t="s">
        <v>3413</v>
      </c>
      <c r="L6" s="9" t="s">
        <v>3414</v>
      </c>
    </row>
    <row r="7" customFormat="false" ht="41.25" hidden="false" customHeight="true" outlineLevel="0" collapsed="false">
      <c r="A7" s="9" t="s">
        <v>156</v>
      </c>
      <c r="B7" s="9" t="s">
        <v>215</v>
      </c>
      <c r="C7" s="9" t="s">
        <v>217</v>
      </c>
      <c r="D7" s="9" t="s">
        <v>3427</v>
      </c>
      <c r="E7" s="9" t="s">
        <v>3425</v>
      </c>
      <c r="F7" s="9" t="s">
        <v>1718</v>
      </c>
      <c r="G7" s="9" t="s">
        <v>3428</v>
      </c>
      <c r="H7" s="9" t="s">
        <v>193</v>
      </c>
      <c r="I7" s="9" t="s">
        <v>3423</v>
      </c>
      <c r="J7" s="9" t="s">
        <v>3412</v>
      </c>
      <c r="K7" s="9" t="s">
        <v>3413</v>
      </c>
      <c r="L7" s="9" t="s">
        <v>3414</v>
      </c>
    </row>
    <row r="8" customFormat="false" ht="41.25" hidden="false" customHeight="true" outlineLevel="0" collapsed="false">
      <c r="A8" s="9" t="s">
        <v>156</v>
      </c>
      <c r="B8" s="9" t="s">
        <v>268</v>
      </c>
      <c r="C8" s="9" t="s">
        <v>271</v>
      </c>
      <c r="D8" s="9" t="s">
        <v>3429</v>
      </c>
      <c r="E8" s="9" t="s">
        <v>3409</v>
      </c>
      <c r="F8" s="9" t="s">
        <v>1743</v>
      </c>
      <c r="G8" s="9" t="s">
        <v>3430</v>
      </c>
      <c r="H8" s="9" t="s">
        <v>193</v>
      </c>
      <c r="I8" s="9" t="s">
        <v>3431</v>
      </c>
      <c r="J8" s="9" t="s">
        <v>3412</v>
      </c>
      <c r="K8" s="9" t="s">
        <v>3413</v>
      </c>
      <c r="L8" s="9" t="s">
        <v>3414</v>
      </c>
    </row>
    <row r="9" customFormat="false" ht="41.25" hidden="false" customHeight="true" outlineLevel="0" collapsed="false">
      <c r="A9" s="9" t="s">
        <v>156</v>
      </c>
      <c r="B9" s="9" t="s">
        <v>268</v>
      </c>
      <c r="C9" s="9" t="s">
        <v>271</v>
      </c>
      <c r="D9" s="9" t="s">
        <v>3432</v>
      </c>
      <c r="E9" s="9" t="s">
        <v>3416</v>
      </c>
      <c r="F9" s="9" t="s">
        <v>1706</v>
      </c>
      <c r="G9" s="9" t="s">
        <v>3433</v>
      </c>
      <c r="H9" s="9" t="s">
        <v>193</v>
      </c>
      <c r="I9" s="9" t="s">
        <v>3431</v>
      </c>
      <c r="J9" s="9" t="s">
        <v>3412</v>
      </c>
      <c r="K9" s="9" t="s">
        <v>3413</v>
      </c>
      <c r="L9" s="9" t="s">
        <v>3414</v>
      </c>
    </row>
    <row r="10" customFormat="false" ht="41.25" hidden="false" customHeight="true" outlineLevel="0" collapsed="false">
      <c r="A10" s="9" t="s">
        <v>156</v>
      </c>
      <c r="B10" s="9" t="s">
        <v>268</v>
      </c>
      <c r="C10" s="9" t="s">
        <v>271</v>
      </c>
      <c r="D10" s="9" t="s">
        <v>3434</v>
      </c>
      <c r="E10" s="9" t="s">
        <v>3435</v>
      </c>
      <c r="F10" s="9" t="s">
        <v>1753</v>
      </c>
      <c r="G10" s="9" t="s">
        <v>3436</v>
      </c>
      <c r="H10" s="9" t="s">
        <v>193</v>
      </c>
      <c r="I10" s="9" t="s">
        <v>3431</v>
      </c>
      <c r="J10" s="9" t="s">
        <v>3412</v>
      </c>
      <c r="K10" s="9" t="s">
        <v>3413</v>
      </c>
      <c r="L10" s="9" t="s">
        <v>3414</v>
      </c>
    </row>
    <row r="11" customFormat="false" ht="41.25" hidden="false" customHeight="true" outlineLevel="0" collapsed="false">
      <c r="A11" s="9" t="s">
        <v>156</v>
      </c>
      <c r="B11" s="9" t="s">
        <v>299</v>
      </c>
      <c r="C11" s="9" t="s">
        <v>302</v>
      </c>
      <c r="D11" s="9" t="s">
        <v>3437</v>
      </c>
      <c r="E11" s="9" t="s">
        <v>3425</v>
      </c>
      <c r="F11" s="9" t="s">
        <v>1779</v>
      </c>
      <c r="G11" s="9" t="s">
        <v>3438</v>
      </c>
      <c r="H11" s="9" t="s">
        <v>193</v>
      </c>
      <c r="I11" s="9" t="s">
        <v>3439</v>
      </c>
      <c r="J11" s="9" t="s">
        <v>3412</v>
      </c>
      <c r="K11" s="9" t="s">
        <v>3413</v>
      </c>
      <c r="L11" s="9" t="s">
        <v>3414</v>
      </c>
    </row>
    <row r="12" customFormat="false" ht="41.25" hidden="false" customHeight="true" outlineLevel="0" collapsed="false">
      <c r="A12" s="9" t="s">
        <v>156</v>
      </c>
      <c r="B12" s="9" t="s">
        <v>299</v>
      </c>
      <c r="C12" s="9" t="s">
        <v>302</v>
      </c>
      <c r="D12" s="9" t="s">
        <v>3440</v>
      </c>
      <c r="E12" s="9" t="s">
        <v>3425</v>
      </c>
      <c r="F12" s="9" t="s">
        <v>1785</v>
      </c>
      <c r="G12" s="9" t="s">
        <v>3436</v>
      </c>
      <c r="H12" s="9" t="s">
        <v>193</v>
      </c>
      <c r="I12" s="9" t="s">
        <v>3439</v>
      </c>
      <c r="J12" s="9" t="s">
        <v>3412</v>
      </c>
      <c r="K12" s="9" t="s">
        <v>3413</v>
      </c>
      <c r="L12" s="9" t="s">
        <v>3414</v>
      </c>
    </row>
    <row r="13" customFormat="false" ht="41.25" hidden="false" customHeight="true" outlineLevel="0" collapsed="false">
      <c r="A13" s="9" t="s">
        <v>156</v>
      </c>
      <c r="B13" s="9" t="s">
        <v>299</v>
      </c>
      <c r="C13" s="9" t="s">
        <v>302</v>
      </c>
      <c r="D13" s="9" t="s">
        <v>3441</v>
      </c>
      <c r="E13" s="9" t="s">
        <v>3425</v>
      </c>
      <c r="F13" s="9" t="s">
        <v>1790</v>
      </c>
      <c r="G13" s="9" t="s">
        <v>3436</v>
      </c>
      <c r="H13" s="9" t="s">
        <v>193</v>
      </c>
      <c r="I13" s="9" t="s">
        <v>3439</v>
      </c>
      <c r="J13" s="9" t="s">
        <v>3412</v>
      </c>
      <c r="K13" s="9" t="s">
        <v>3413</v>
      </c>
      <c r="L13" s="9" t="s">
        <v>3414</v>
      </c>
    </row>
    <row r="14" customFormat="false" ht="41.25" hidden="false" customHeight="true" outlineLevel="0" collapsed="false">
      <c r="A14" s="9" t="s">
        <v>156</v>
      </c>
      <c r="B14" s="9" t="s">
        <v>332</v>
      </c>
      <c r="C14" s="9" t="s">
        <v>319</v>
      </c>
      <c r="D14" s="9" t="s">
        <v>3442</v>
      </c>
      <c r="E14" s="9" t="s">
        <v>3425</v>
      </c>
      <c r="F14" s="9" t="s">
        <v>1815</v>
      </c>
      <c r="G14" s="9" t="s">
        <v>3436</v>
      </c>
      <c r="H14" s="9" t="s">
        <v>193</v>
      </c>
      <c r="I14" s="9" t="s">
        <v>3443</v>
      </c>
      <c r="J14" s="9" t="s">
        <v>3412</v>
      </c>
      <c r="K14" s="9" t="s">
        <v>3413</v>
      </c>
      <c r="L14" s="9" t="s">
        <v>3414</v>
      </c>
    </row>
    <row r="15" customFormat="false" ht="41.25" hidden="false" customHeight="true" outlineLevel="0" collapsed="false">
      <c r="A15" s="9" t="s">
        <v>156</v>
      </c>
      <c r="B15" s="9" t="s">
        <v>332</v>
      </c>
      <c r="C15" s="9" t="s">
        <v>319</v>
      </c>
      <c r="D15" s="9" t="s">
        <v>3444</v>
      </c>
      <c r="E15" s="9" t="s">
        <v>3425</v>
      </c>
      <c r="F15" s="9" t="s">
        <v>1821</v>
      </c>
      <c r="G15" s="9" t="s">
        <v>3436</v>
      </c>
      <c r="H15" s="9" t="s">
        <v>193</v>
      </c>
      <c r="I15" s="9" t="s">
        <v>3443</v>
      </c>
      <c r="J15" s="9" t="s">
        <v>3412</v>
      </c>
      <c r="K15" s="9" t="s">
        <v>3413</v>
      </c>
      <c r="L15" s="9" t="s">
        <v>3414</v>
      </c>
    </row>
    <row r="16" customFormat="false" ht="41.25" hidden="false" customHeight="true" outlineLevel="0" collapsed="false">
      <c r="A16" s="9" t="s">
        <v>156</v>
      </c>
      <c r="B16" s="9" t="s">
        <v>332</v>
      </c>
      <c r="C16" s="9" t="s">
        <v>319</v>
      </c>
      <c r="D16" s="9" t="s">
        <v>3445</v>
      </c>
      <c r="E16" s="9" t="s">
        <v>3409</v>
      </c>
      <c r="F16" s="9" t="s">
        <v>1826</v>
      </c>
      <c r="G16" s="9" t="s">
        <v>3436</v>
      </c>
      <c r="H16" s="9" t="s">
        <v>193</v>
      </c>
      <c r="I16" s="9" t="s">
        <v>3443</v>
      </c>
      <c r="J16" s="9" t="s">
        <v>3412</v>
      </c>
      <c r="K16" s="9" t="s">
        <v>3413</v>
      </c>
      <c r="L16" s="9" t="s">
        <v>3414</v>
      </c>
    </row>
    <row r="17" customFormat="false" ht="41.25" hidden="false" customHeight="true" outlineLevel="0" collapsed="false">
      <c r="A17" s="9" t="s">
        <v>156</v>
      </c>
      <c r="B17" s="9" t="s">
        <v>215</v>
      </c>
      <c r="C17" s="9" t="s">
        <v>217</v>
      </c>
      <c r="D17" s="9" t="s">
        <v>3446</v>
      </c>
      <c r="E17" s="9" t="s">
        <v>3416</v>
      </c>
      <c r="F17" s="9" t="s">
        <v>1851</v>
      </c>
      <c r="G17" s="9" t="s">
        <v>3436</v>
      </c>
      <c r="H17" s="9" t="s">
        <v>193</v>
      </c>
      <c r="I17" s="9" t="s">
        <v>3447</v>
      </c>
      <c r="J17" s="9" t="s">
        <v>3412</v>
      </c>
      <c r="K17" s="9" t="s">
        <v>3413</v>
      </c>
      <c r="L17" s="9" t="s">
        <v>3414</v>
      </c>
    </row>
    <row r="18" customFormat="false" ht="41.25" hidden="false" customHeight="true" outlineLevel="0" collapsed="false">
      <c r="A18" s="9" t="s">
        <v>156</v>
      </c>
      <c r="B18" s="9" t="s">
        <v>215</v>
      </c>
      <c r="C18" s="9" t="s">
        <v>217</v>
      </c>
      <c r="D18" s="9" t="s">
        <v>3448</v>
      </c>
      <c r="E18" s="9" t="s">
        <v>3435</v>
      </c>
      <c r="F18" s="9" t="s">
        <v>1857</v>
      </c>
      <c r="G18" s="9" t="s">
        <v>3436</v>
      </c>
      <c r="H18" s="9" t="s">
        <v>193</v>
      </c>
      <c r="I18" s="9" t="s">
        <v>3447</v>
      </c>
      <c r="J18" s="9" t="s">
        <v>3412</v>
      </c>
      <c r="K18" s="9" t="s">
        <v>3413</v>
      </c>
      <c r="L18" s="9" t="s">
        <v>3414</v>
      </c>
    </row>
    <row r="19" customFormat="false" ht="41.25" hidden="false" customHeight="true" outlineLevel="0" collapsed="false">
      <c r="A19" s="9" t="s">
        <v>156</v>
      </c>
      <c r="B19" s="9" t="s">
        <v>215</v>
      </c>
      <c r="C19" s="9" t="s">
        <v>217</v>
      </c>
      <c r="D19" s="9" t="s">
        <v>3449</v>
      </c>
      <c r="E19" s="9" t="s">
        <v>3416</v>
      </c>
      <c r="F19" s="9" t="s">
        <v>1706</v>
      </c>
      <c r="G19" s="9" t="s">
        <v>3436</v>
      </c>
      <c r="H19" s="9" t="s">
        <v>193</v>
      </c>
      <c r="I19" s="9" t="s">
        <v>3447</v>
      </c>
      <c r="J19" s="9" t="s">
        <v>3412</v>
      </c>
      <c r="K19" s="9" t="s">
        <v>3413</v>
      </c>
      <c r="L19" s="9" t="s">
        <v>3414</v>
      </c>
    </row>
    <row r="20" customFormat="false" ht="41.25" hidden="false" customHeight="true" outlineLevel="0" collapsed="false">
      <c r="A20" s="9" t="s">
        <v>156</v>
      </c>
      <c r="B20" s="9" t="s">
        <v>158</v>
      </c>
      <c r="C20" s="9" t="s">
        <v>160</v>
      </c>
      <c r="D20" s="9" t="s">
        <v>3450</v>
      </c>
      <c r="E20" s="9" t="s">
        <v>3416</v>
      </c>
      <c r="F20" s="9" t="s">
        <v>1706</v>
      </c>
      <c r="G20" s="9" t="s">
        <v>3436</v>
      </c>
      <c r="H20" s="9" t="s">
        <v>193</v>
      </c>
      <c r="I20" s="9" t="s">
        <v>3451</v>
      </c>
      <c r="J20" s="9" t="s">
        <v>3412</v>
      </c>
      <c r="K20" s="9" t="s">
        <v>3413</v>
      </c>
      <c r="L20" s="9" t="s">
        <v>3414</v>
      </c>
    </row>
    <row r="21" customFormat="false" ht="41.25" hidden="false" customHeight="true" outlineLevel="0" collapsed="false">
      <c r="A21" s="9" t="s">
        <v>156</v>
      </c>
      <c r="B21" s="9" t="s">
        <v>158</v>
      </c>
      <c r="C21" s="9" t="s">
        <v>160</v>
      </c>
      <c r="D21" s="9" t="s">
        <v>3452</v>
      </c>
      <c r="E21" s="9" t="s">
        <v>3409</v>
      </c>
      <c r="F21" s="9" t="s">
        <v>1826</v>
      </c>
      <c r="G21" s="9" t="s">
        <v>3436</v>
      </c>
      <c r="H21" s="9" t="s">
        <v>193</v>
      </c>
      <c r="I21" s="9" t="s">
        <v>3451</v>
      </c>
      <c r="J21" s="9" t="s">
        <v>3412</v>
      </c>
      <c r="K21" s="9" t="s">
        <v>3413</v>
      </c>
      <c r="L21" s="9" t="s">
        <v>3414</v>
      </c>
    </row>
    <row r="22" customFormat="false" ht="41.25" hidden="false" customHeight="true" outlineLevel="0" collapsed="false">
      <c r="A22" s="9" t="s">
        <v>156</v>
      </c>
      <c r="B22" s="9" t="s">
        <v>158</v>
      </c>
      <c r="C22" s="9" t="s">
        <v>160</v>
      </c>
      <c r="D22" s="9" t="s">
        <v>3453</v>
      </c>
      <c r="E22" s="9" t="s">
        <v>3435</v>
      </c>
      <c r="F22" s="9" t="s">
        <v>1895</v>
      </c>
      <c r="G22" s="9" t="s">
        <v>3436</v>
      </c>
      <c r="H22" s="9" t="s">
        <v>193</v>
      </c>
      <c r="I22" s="9" t="s">
        <v>3451</v>
      </c>
      <c r="J22" s="9" t="s">
        <v>3412</v>
      </c>
      <c r="K22" s="9" t="s">
        <v>3413</v>
      </c>
      <c r="L22" s="9" t="s">
        <v>3414</v>
      </c>
    </row>
    <row r="23" customFormat="false" ht="41.25" hidden="false" customHeight="true" outlineLevel="0" collapsed="false">
      <c r="A23" s="9" t="s">
        <v>156</v>
      </c>
      <c r="B23" s="9" t="s">
        <v>420</v>
      </c>
      <c r="C23" s="9" t="s">
        <v>423</v>
      </c>
      <c r="D23" s="9" t="s">
        <v>3454</v>
      </c>
      <c r="E23" s="9" t="s">
        <v>3425</v>
      </c>
      <c r="F23" s="9" t="s">
        <v>1920</v>
      </c>
      <c r="G23" s="9" t="s">
        <v>3436</v>
      </c>
      <c r="H23" s="9" t="s">
        <v>193</v>
      </c>
      <c r="I23" s="9" t="s">
        <v>3455</v>
      </c>
      <c r="J23" s="9" t="s">
        <v>3412</v>
      </c>
      <c r="K23" s="9" t="s">
        <v>3413</v>
      </c>
      <c r="L23" s="9" t="s">
        <v>3414</v>
      </c>
    </row>
    <row r="24" customFormat="false" ht="41.25" hidden="false" customHeight="true" outlineLevel="0" collapsed="false">
      <c r="A24" s="9" t="s">
        <v>156</v>
      </c>
      <c r="B24" s="9" t="s">
        <v>420</v>
      </c>
      <c r="C24" s="9" t="s">
        <v>423</v>
      </c>
      <c r="D24" s="9" t="s">
        <v>3456</v>
      </c>
      <c r="E24" s="9" t="s">
        <v>3419</v>
      </c>
      <c r="F24" s="9" t="s">
        <v>1926</v>
      </c>
      <c r="G24" s="9" t="s">
        <v>3436</v>
      </c>
      <c r="H24" s="9" t="s">
        <v>193</v>
      </c>
      <c r="I24" s="9" t="s">
        <v>3455</v>
      </c>
      <c r="J24" s="9" t="s">
        <v>3412</v>
      </c>
      <c r="K24" s="9" t="s">
        <v>3413</v>
      </c>
      <c r="L24" s="9" t="s">
        <v>3414</v>
      </c>
    </row>
    <row r="25" customFormat="false" ht="41.25" hidden="false" customHeight="true" outlineLevel="0" collapsed="false">
      <c r="A25" s="9" t="s">
        <v>156</v>
      </c>
      <c r="B25" s="9" t="s">
        <v>420</v>
      </c>
      <c r="C25" s="9" t="s">
        <v>423</v>
      </c>
      <c r="D25" s="9" t="s">
        <v>3457</v>
      </c>
      <c r="E25" s="9" t="s">
        <v>3435</v>
      </c>
      <c r="F25" s="9" t="s">
        <v>1931</v>
      </c>
      <c r="G25" s="9" t="s">
        <v>3436</v>
      </c>
      <c r="H25" s="9" t="s">
        <v>193</v>
      </c>
      <c r="I25" s="9" t="s">
        <v>3455</v>
      </c>
      <c r="J25" s="9" t="s">
        <v>3412</v>
      </c>
      <c r="K25" s="9" t="s">
        <v>3413</v>
      </c>
      <c r="L25" s="9" t="s">
        <v>3414</v>
      </c>
    </row>
    <row r="26" customFormat="false" ht="41.25" hidden="false" customHeight="true" outlineLevel="0" collapsed="false">
      <c r="A26" s="9" t="s">
        <v>156</v>
      </c>
      <c r="B26" s="9" t="s">
        <v>158</v>
      </c>
      <c r="C26" s="9" t="s">
        <v>452</v>
      </c>
      <c r="D26" s="9" t="s">
        <v>3458</v>
      </c>
      <c r="E26" s="9" t="s">
        <v>3409</v>
      </c>
      <c r="F26" s="9" t="s">
        <v>1826</v>
      </c>
      <c r="G26" s="9" t="s">
        <v>3436</v>
      </c>
      <c r="H26" s="9" t="s">
        <v>193</v>
      </c>
      <c r="I26" s="9" t="s">
        <v>3459</v>
      </c>
      <c r="J26" s="9" t="s">
        <v>3412</v>
      </c>
      <c r="K26" s="9" t="s">
        <v>3413</v>
      </c>
      <c r="L26" s="9" t="s">
        <v>3414</v>
      </c>
    </row>
    <row r="27" customFormat="false" ht="41.25" hidden="false" customHeight="true" outlineLevel="0" collapsed="false">
      <c r="A27" s="9" t="s">
        <v>156</v>
      </c>
      <c r="B27" s="9" t="s">
        <v>158</v>
      </c>
      <c r="C27" s="9" t="s">
        <v>452</v>
      </c>
      <c r="D27" s="9" t="s">
        <v>3460</v>
      </c>
      <c r="E27" s="9" t="s">
        <v>3416</v>
      </c>
      <c r="F27" s="9" t="s">
        <v>1706</v>
      </c>
      <c r="G27" s="9" t="s">
        <v>3436</v>
      </c>
      <c r="H27" s="9" t="s">
        <v>193</v>
      </c>
      <c r="I27" s="9" t="s">
        <v>3459</v>
      </c>
      <c r="J27" s="9" t="s">
        <v>3412</v>
      </c>
      <c r="K27" s="9" t="s">
        <v>3413</v>
      </c>
      <c r="L27" s="9" t="s">
        <v>3414</v>
      </c>
    </row>
    <row r="28" customFormat="false" ht="41.25" hidden="false" customHeight="true" outlineLevel="0" collapsed="false">
      <c r="A28" s="9" t="s">
        <v>156</v>
      </c>
      <c r="B28" s="9" t="s">
        <v>158</v>
      </c>
      <c r="C28" s="9" t="s">
        <v>452</v>
      </c>
      <c r="D28" s="9" t="s">
        <v>3461</v>
      </c>
      <c r="E28" s="9" t="s">
        <v>3435</v>
      </c>
      <c r="F28" s="9" t="s">
        <v>1965</v>
      </c>
      <c r="G28" s="9" t="s">
        <v>3436</v>
      </c>
      <c r="H28" s="9" t="s">
        <v>193</v>
      </c>
      <c r="I28" s="9" t="s">
        <v>3459</v>
      </c>
      <c r="J28" s="9" t="s">
        <v>3412</v>
      </c>
      <c r="K28" s="9" t="s">
        <v>3413</v>
      </c>
      <c r="L28" s="9" t="s">
        <v>3414</v>
      </c>
    </row>
    <row r="29" customFormat="false" ht="41.25" hidden="false" customHeight="true" outlineLevel="0" collapsed="false">
      <c r="A29" s="9" t="s">
        <v>156</v>
      </c>
      <c r="B29" s="9" t="s">
        <v>3462</v>
      </c>
      <c r="C29" s="9" t="s">
        <v>481</v>
      </c>
      <c r="D29" s="9" t="s">
        <v>3463</v>
      </c>
      <c r="E29" s="9" t="s">
        <v>3425</v>
      </c>
      <c r="F29" s="9" t="s">
        <v>1779</v>
      </c>
      <c r="G29" s="9" t="s">
        <v>3436</v>
      </c>
      <c r="H29" s="9" t="s">
        <v>193</v>
      </c>
      <c r="I29" s="9" t="s">
        <v>3464</v>
      </c>
      <c r="J29" s="9" t="s">
        <v>3412</v>
      </c>
      <c r="K29" s="9" t="s">
        <v>3413</v>
      </c>
      <c r="L29" s="9" t="s">
        <v>3414</v>
      </c>
    </row>
    <row r="30" customFormat="false" ht="41.25" hidden="false" customHeight="true" outlineLevel="0" collapsed="false">
      <c r="A30" s="9" t="s">
        <v>156</v>
      </c>
      <c r="B30" s="9" t="s">
        <v>3462</v>
      </c>
      <c r="C30" s="9" t="s">
        <v>481</v>
      </c>
      <c r="D30" s="9" t="s">
        <v>603</v>
      </c>
      <c r="E30" s="9" t="s">
        <v>3409</v>
      </c>
      <c r="F30" s="9" t="s">
        <v>1826</v>
      </c>
      <c r="G30" s="9" t="s">
        <v>3436</v>
      </c>
      <c r="H30" s="9" t="s">
        <v>193</v>
      </c>
      <c r="I30" s="9" t="s">
        <v>3464</v>
      </c>
      <c r="J30" s="9" t="s">
        <v>3412</v>
      </c>
      <c r="K30" s="9" t="s">
        <v>3413</v>
      </c>
      <c r="L30" s="9" t="s">
        <v>3414</v>
      </c>
    </row>
    <row r="31" customFormat="false" ht="41.25" hidden="false" customHeight="true" outlineLevel="0" collapsed="false">
      <c r="A31" s="9" t="s">
        <v>156</v>
      </c>
      <c r="B31" s="9" t="s">
        <v>3462</v>
      </c>
      <c r="C31" s="9" t="s">
        <v>481</v>
      </c>
      <c r="D31" s="9" t="s">
        <v>3456</v>
      </c>
      <c r="E31" s="9" t="s">
        <v>3419</v>
      </c>
      <c r="F31" s="9" t="s">
        <v>1672</v>
      </c>
      <c r="G31" s="9" t="s">
        <v>3436</v>
      </c>
      <c r="H31" s="9" t="s">
        <v>193</v>
      </c>
      <c r="I31" s="9" t="s">
        <v>3464</v>
      </c>
      <c r="J31" s="9" t="s">
        <v>3412</v>
      </c>
      <c r="K31" s="9" t="s">
        <v>3413</v>
      </c>
      <c r="L31" s="9" t="s">
        <v>3414</v>
      </c>
    </row>
    <row r="32" customFormat="false" ht="41.25" hidden="false" customHeight="true" outlineLevel="0" collapsed="false">
      <c r="A32" s="9" t="s">
        <v>156</v>
      </c>
      <c r="B32" s="9" t="s">
        <v>3462</v>
      </c>
      <c r="C32" s="9" t="s">
        <v>481</v>
      </c>
      <c r="D32" s="9" t="s">
        <v>3440</v>
      </c>
      <c r="E32" s="9" t="s">
        <v>3425</v>
      </c>
      <c r="F32" s="9" t="s">
        <v>2019</v>
      </c>
      <c r="G32" s="9" t="s">
        <v>3436</v>
      </c>
      <c r="H32" s="9" t="s">
        <v>193</v>
      </c>
      <c r="I32" s="9" t="s">
        <v>3465</v>
      </c>
      <c r="J32" s="9" t="s">
        <v>3412</v>
      </c>
      <c r="K32" s="9" t="s">
        <v>3413</v>
      </c>
      <c r="L32" s="9" t="s">
        <v>3414</v>
      </c>
    </row>
    <row r="33" customFormat="false" ht="41.25" hidden="false" customHeight="true" outlineLevel="0" collapsed="false">
      <c r="A33" s="9" t="s">
        <v>156</v>
      </c>
      <c r="B33" s="9" t="s">
        <v>3462</v>
      </c>
      <c r="C33" s="9" t="s">
        <v>481</v>
      </c>
      <c r="D33" s="9" t="s">
        <v>3466</v>
      </c>
      <c r="E33" s="9" t="s">
        <v>3419</v>
      </c>
      <c r="F33" s="9" t="s">
        <v>2025</v>
      </c>
      <c r="G33" s="9" t="s">
        <v>3436</v>
      </c>
      <c r="H33" s="9" t="s">
        <v>193</v>
      </c>
      <c r="I33" s="9" t="s">
        <v>3465</v>
      </c>
      <c r="J33" s="9" t="s">
        <v>3412</v>
      </c>
      <c r="K33" s="9" t="s">
        <v>3413</v>
      </c>
      <c r="L33" s="9" t="s">
        <v>3414</v>
      </c>
    </row>
    <row r="34" customFormat="false" ht="41.25" hidden="false" customHeight="true" outlineLevel="0" collapsed="false">
      <c r="A34" s="9" t="s">
        <v>156</v>
      </c>
      <c r="B34" s="9" t="s">
        <v>3462</v>
      </c>
      <c r="C34" s="9" t="s">
        <v>481</v>
      </c>
      <c r="D34" s="9" t="s">
        <v>933</v>
      </c>
      <c r="E34" s="9" t="s">
        <v>3467</v>
      </c>
      <c r="F34" s="9" t="s">
        <v>2030</v>
      </c>
      <c r="G34" s="9" t="s">
        <v>3436</v>
      </c>
      <c r="H34" s="9" t="s">
        <v>193</v>
      </c>
      <c r="I34" s="9" t="s">
        <v>3465</v>
      </c>
      <c r="J34" s="9" t="s">
        <v>3412</v>
      </c>
      <c r="K34" s="9" t="s">
        <v>3413</v>
      </c>
      <c r="L34" s="9" t="s">
        <v>3414</v>
      </c>
    </row>
    <row r="35" customFormat="false" ht="41.25" hidden="false" customHeight="true" outlineLevel="0" collapsed="false">
      <c r="A35" s="9" t="s">
        <v>156</v>
      </c>
      <c r="B35" s="9" t="s">
        <v>3462</v>
      </c>
      <c r="C35" s="9" t="s">
        <v>481</v>
      </c>
      <c r="D35" s="9" t="s">
        <v>3468</v>
      </c>
      <c r="E35" s="9" t="s">
        <v>3419</v>
      </c>
      <c r="F35" s="9" t="s">
        <v>1926</v>
      </c>
      <c r="G35" s="9" t="s">
        <v>3436</v>
      </c>
      <c r="H35" s="9" t="s">
        <v>193</v>
      </c>
      <c r="I35" s="9" t="s">
        <v>3469</v>
      </c>
      <c r="J35" s="9" t="s">
        <v>3412</v>
      </c>
      <c r="K35" s="9" t="s">
        <v>3413</v>
      </c>
      <c r="L35" s="9" t="s">
        <v>3414</v>
      </c>
    </row>
    <row r="36" customFormat="false" ht="41.25" hidden="false" customHeight="true" outlineLevel="0" collapsed="false">
      <c r="A36" s="9" t="s">
        <v>156</v>
      </c>
      <c r="B36" s="9" t="s">
        <v>3462</v>
      </c>
      <c r="C36" s="9" t="s">
        <v>481</v>
      </c>
      <c r="D36" s="9" t="s">
        <v>3470</v>
      </c>
      <c r="E36" s="9" t="s">
        <v>3471</v>
      </c>
      <c r="F36" s="9" t="s">
        <v>2060</v>
      </c>
      <c r="G36" s="9" t="s">
        <v>3436</v>
      </c>
      <c r="H36" s="9" t="s">
        <v>193</v>
      </c>
      <c r="I36" s="9" t="s">
        <v>3469</v>
      </c>
      <c r="J36" s="9" t="s">
        <v>3412</v>
      </c>
      <c r="K36" s="9" t="s">
        <v>3413</v>
      </c>
      <c r="L36" s="9" t="s">
        <v>3414</v>
      </c>
    </row>
    <row r="37" customFormat="false" ht="41.25" hidden="false" customHeight="true" outlineLevel="0" collapsed="false">
      <c r="A37" s="9" t="s">
        <v>156</v>
      </c>
      <c r="B37" s="9" t="s">
        <v>3462</v>
      </c>
      <c r="C37" s="9" t="s">
        <v>481</v>
      </c>
      <c r="D37" s="9" t="s">
        <v>3472</v>
      </c>
      <c r="E37" s="9" t="s">
        <v>3409</v>
      </c>
      <c r="F37" s="9" t="s">
        <v>2066</v>
      </c>
      <c r="G37" s="9" t="s">
        <v>3436</v>
      </c>
      <c r="H37" s="9" t="s">
        <v>193</v>
      </c>
      <c r="I37" s="9" t="s">
        <v>3469</v>
      </c>
      <c r="J37" s="9" t="s">
        <v>3412</v>
      </c>
      <c r="K37" s="9" t="s">
        <v>3413</v>
      </c>
      <c r="L37" s="9" t="s">
        <v>3414</v>
      </c>
    </row>
    <row r="38" customFormat="false" ht="41.25" hidden="false" customHeight="true" outlineLevel="0" collapsed="false">
      <c r="A38" s="9" t="s">
        <v>156</v>
      </c>
      <c r="B38" s="9" t="s">
        <v>332</v>
      </c>
      <c r="C38" s="9" t="s">
        <v>567</v>
      </c>
      <c r="D38" s="9" t="s">
        <v>3473</v>
      </c>
      <c r="E38" s="9" t="s">
        <v>3474</v>
      </c>
      <c r="F38" s="9" t="s">
        <v>2091</v>
      </c>
      <c r="G38" s="9" t="s">
        <v>3436</v>
      </c>
      <c r="H38" s="9" t="s">
        <v>193</v>
      </c>
      <c r="I38" s="9" t="s">
        <v>3475</v>
      </c>
      <c r="J38" s="9" t="s">
        <v>3412</v>
      </c>
      <c r="K38" s="9" t="s">
        <v>3413</v>
      </c>
      <c r="L38" s="9" t="s">
        <v>3414</v>
      </c>
    </row>
    <row r="39" customFormat="false" ht="41.25" hidden="false" customHeight="true" outlineLevel="0" collapsed="false">
      <c r="A39" s="9" t="s">
        <v>156</v>
      </c>
      <c r="B39" s="9" t="s">
        <v>332</v>
      </c>
      <c r="C39" s="9" t="s">
        <v>567</v>
      </c>
      <c r="D39" s="9" t="s">
        <v>3476</v>
      </c>
      <c r="E39" s="9" t="s">
        <v>3477</v>
      </c>
      <c r="F39" s="9" t="s">
        <v>2060</v>
      </c>
      <c r="G39" s="9" t="s">
        <v>3436</v>
      </c>
      <c r="H39" s="9" t="s">
        <v>193</v>
      </c>
      <c r="I39" s="9" t="s">
        <v>3475</v>
      </c>
      <c r="J39" s="9" t="s">
        <v>3412</v>
      </c>
      <c r="K39" s="9" t="s">
        <v>3413</v>
      </c>
      <c r="L39" s="9" t="s">
        <v>3414</v>
      </c>
    </row>
    <row r="40" customFormat="false" ht="41.25" hidden="false" customHeight="true" outlineLevel="0" collapsed="false">
      <c r="A40" s="9" t="s">
        <v>156</v>
      </c>
      <c r="B40" s="9" t="s">
        <v>332</v>
      </c>
      <c r="C40" s="9" t="s">
        <v>567</v>
      </c>
      <c r="D40" s="9" t="s">
        <v>603</v>
      </c>
      <c r="E40" s="9" t="s">
        <v>3409</v>
      </c>
      <c r="F40" s="9" t="s">
        <v>1826</v>
      </c>
      <c r="G40" s="9" t="s">
        <v>3436</v>
      </c>
      <c r="H40" s="9" t="s">
        <v>193</v>
      </c>
      <c r="I40" s="9" t="s">
        <v>3475</v>
      </c>
      <c r="J40" s="9" t="s">
        <v>3412</v>
      </c>
      <c r="K40" s="9" t="s">
        <v>3413</v>
      </c>
      <c r="L40" s="9" t="s">
        <v>3414</v>
      </c>
    </row>
    <row r="41" customFormat="false" ht="41.25" hidden="false" customHeight="true" outlineLevel="0" collapsed="false">
      <c r="A41" s="9" t="s">
        <v>156</v>
      </c>
      <c r="B41" s="9" t="s">
        <v>268</v>
      </c>
      <c r="C41" s="9" t="s">
        <v>271</v>
      </c>
      <c r="D41" s="9" t="s">
        <v>3452</v>
      </c>
      <c r="E41" s="9" t="s">
        <v>3409</v>
      </c>
      <c r="F41" s="9" t="s">
        <v>1826</v>
      </c>
      <c r="G41" s="9" t="s">
        <v>3436</v>
      </c>
      <c r="H41" s="9" t="s">
        <v>193</v>
      </c>
      <c r="I41" s="9" t="s">
        <v>3478</v>
      </c>
      <c r="J41" s="9" t="s">
        <v>3412</v>
      </c>
      <c r="K41" s="9" t="s">
        <v>3413</v>
      </c>
      <c r="L41" s="9" t="s">
        <v>3414</v>
      </c>
    </row>
    <row r="42" customFormat="false" ht="41.25" hidden="false" customHeight="true" outlineLevel="0" collapsed="false">
      <c r="A42" s="9" t="s">
        <v>156</v>
      </c>
      <c r="B42" s="9" t="s">
        <v>268</v>
      </c>
      <c r="C42" s="9" t="s">
        <v>271</v>
      </c>
      <c r="D42" s="9" t="s">
        <v>3479</v>
      </c>
      <c r="E42" s="9" t="s">
        <v>3435</v>
      </c>
      <c r="F42" s="9" t="s">
        <v>1753</v>
      </c>
      <c r="G42" s="9" t="s">
        <v>3436</v>
      </c>
      <c r="H42" s="9" t="s">
        <v>193</v>
      </c>
      <c r="I42" s="9" t="s">
        <v>3478</v>
      </c>
      <c r="J42" s="9" t="s">
        <v>3412</v>
      </c>
      <c r="K42" s="9" t="s">
        <v>3413</v>
      </c>
      <c r="L42" s="9" t="s">
        <v>3414</v>
      </c>
    </row>
    <row r="43" customFormat="false" ht="41.25" hidden="false" customHeight="true" outlineLevel="0" collapsed="false">
      <c r="A43" s="9" t="s">
        <v>156</v>
      </c>
      <c r="B43" s="9" t="s">
        <v>268</v>
      </c>
      <c r="C43" s="9" t="s">
        <v>271</v>
      </c>
      <c r="D43" s="9" t="s">
        <v>3456</v>
      </c>
      <c r="E43" s="9" t="s">
        <v>3419</v>
      </c>
      <c r="F43" s="9" t="s">
        <v>2129</v>
      </c>
      <c r="G43" s="9" t="s">
        <v>3436</v>
      </c>
      <c r="H43" s="9" t="s">
        <v>193</v>
      </c>
      <c r="I43" s="9" t="s">
        <v>3478</v>
      </c>
      <c r="J43" s="9" t="s">
        <v>3412</v>
      </c>
      <c r="K43" s="9" t="s">
        <v>3413</v>
      </c>
      <c r="L43" s="9" t="s">
        <v>3414</v>
      </c>
    </row>
    <row r="44" customFormat="false" ht="41.25" hidden="false" customHeight="true" outlineLevel="0" collapsed="false">
      <c r="A44" s="9" t="s">
        <v>156</v>
      </c>
      <c r="B44" s="9" t="s">
        <v>332</v>
      </c>
      <c r="C44" s="9" t="s">
        <v>609</v>
      </c>
      <c r="D44" s="9" t="s">
        <v>3480</v>
      </c>
      <c r="E44" s="9" t="s">
        <v>3474</v>
      </c>
      <c r="F44" s="9" t="s">
        <v>2153</v>
      </c>
      <c r="G44" s="9" t="s">
        <v>3436</v>
      </c>
      <c r="H44" s="9" t="s">
        <v>193</v>
      </c>
      <c r="I44" s="9" t="s">
        <v>3481</v>
      </c>
      <c r="J44" s="9" t="s">
        <v>3412</v>
      </c>
      <c r="K44" s="9" t="s">
        <v>3413</v>
      </c>
      <c r="L44" s="9" t="s">
        <v>3414</v>
      </c>
    </row>
    <row r="45" customFormat="false" ht="41.25" hidden="false" customHeight="true" outlineLevel="0" collapsed="false">
      <c r="A45" s="9" t="s">
        <v>156</v>
      </c>
      <c r="B45" s="9" t="s">
        <v>332</v>
      </c>
      <c r="C45" s="9" t="s">
        <v>609</v>
      </c>
      <c r="D45" s="9" t="s">
        <v>3482</v>
      </c>
      <c r="E45" s="9" t="s">
        <v>3409</v>
      </c>
      <c r="F45" s="9" t="s">
        <v>1826</v>
      </c>
      <c r="G45" s="9" t="s">
        <v>3436</v>
      </c>
      <c r="H45" s="9" t="s">
        <v>193</v>
      </c>
      <c r="I45" s="9" t="s">
        <v>3481</v>
      </c>
      <c r="J45" s="9" t="s">
        <v>3412</v>
      </c>
      <c r="K45" s="9" t="s">
        <v>3413</v>
      </c>
      <c r="L45" s="9" t="s">
        <v>3414</v>
      </c>
    </row>
    <row r="46" customFormat="false" ht="41.25" hidden="false" customHeight="true" outlineLevel="0" collapsed="false">
      <c r="A46" s="9" t="s">
        <v>156</v>
      </c>
      <c r="B46" s="9" t="s">
        <v>332</v>
      </c>
      <c r="C46" s="9" t="s">
        <v>609</v>
      </c>
      <c r="D46" s="9" t="s">
        <v>3483</v>
      </c>
      <c r="E46" s="9" t="s">
        <v>3416</v>
      </c>
      <c r="F46" s="9" t="s">
        <v>2163</v>
      </c>
      <c r="G46" s="9" t="s">
        <v>3436</v>
      </c>
      <c r="H46" s="9" t="s">
        <v>193</v>
      </c>
      <c r="I46" s="9" t="s">
        <v>3481</v>
      </c>
      <c r="J46" s="9" t="s">
        <v>3412</v>
      </c>
      <c r="K46" s="9" t="s">
        <v>3413</v>
      </c>
      <c r="L46" s="9" t="s">
        <v>3414</v>
      </c>
    </row>
    <row r="47" customFormat="false" ht="41.25" hidden="false" customHeight="true" outlineLevel="0" collapsed="false">
      <c r="A47" s="9" t="s">
        <v>156</v>
      </c>
      <c r="B47" s="9" t="s">
        <v>420</v>
      </c>
      <c r="C47" s="9" t="s">
        <v>423</v>
      </c>
      <c r="D47" s="9" t="s">
        <v>3484</v>
      </c>
      <c r="E47" s="9" t="s">
        <v>3425</v>
      </c>
      <c r="F47" s="9" t="s">
        <v>1779</v>
      </c>
      <c r="G47" s="9" t="s">
        <v>3436</v>
      </c>
      <c r="H47" s="9" t="s">
        <v>193</v>
      </c>
      <c r="I47" s="9" t="s">
        <v>3485</v>
      </c>
      <c r="J47" s="9" t="s">
        <v>3412</v>
      </c>
      <c r="K47" s="9" t="s">
        <v>3413</v>
      </c>
      <c r="L47" s="9" t="s">
        <v>3414</v>
      </c>
    </row>
    <row r="48" customFormat="false" ht="41.25" hidden="false" customHeight="true" outlineLevel="0" collapsed="false">
      <c r="A48" s="9" t="s">
        <v>156</v>
      </c>
      <c r="B48" s="9" t="s">
        <v>420</v>
      </c>
      <c r="C48" s="9" t="s">
        <v>423</v>
      </c>
      <c r="D48" s="9" t="s">
        <v>3486</v>
      </c>
      <c r="E48" s="9" t="s">
        <v>3425</v>
      </c>
      <c r="F48" s="9" t="s">
        <v>1779</v>
      </c>
      <c r="G48" s="9" t="s">
        <v>3436</v>
      </c>
      <c r="H48" s="9" t="s">
        <v>193</v>
      </c>
      <c r="I48" s="9" t="s">
        <v>3485</v>
      </c>
      <c r="J48" s="9" t="s">
        <v>3412</v>
      </c>
      <c r="K48" s="9" t="s">
        <v>3413</v>
      </c>
      <c r="L48" s="9" t="s">
        <v>3414</v>
      </c>
    </row>
    <row r="49" customFormat="false" ht="41.25" hidden="false" customHeight="true" outlineLevel="0" collapsed="false">
      <c r="A49" s="9" t="s">
        <v>156</v>
      </c>
      <c r="B49" s="9" t="s">
        <v>420</v>
      </c>
      <c r="C49" s="9" t="s">
        <v>423</v>
      </c>
      <c r="D49" s="9" t="s">
        <v>603</v>
      </c>
      <c r="E49" s="9" t="s">
        <v>3409</v>
      </c>
      <c r="F49" s="9" t="s">
        <v>2066</v>
      </c>
      <c r="G49" s="9" t="s">
        <v>3436</v>
      </c>
      <c r="H49" s="9" t="s">
        <v>193</v>
      </c>
      <c r="I49" s="9" t="s">
        <v>3485</v>
      </c>
      <c r="J49" s="9" t="s">
        <v>3412</v>
      </c>
      <c r="K49" s="9" t="s">
        <v>3413</v>
      </c>
      <c r="L49" s="9" t="s">
        <v>3414</v>
      </c>
    </row>
    <row r="50" customFormat="false" ht="41.25" hidden="false" customHeight="true" outlineLevel="0" collapsed="false">
      <c r="A50" s="9" t="s">
        <v>156</v>
      </c>
      <c r="B50" s="9" t="s">
        <v>638</v>
      </c>
      <c r="C50" s="9" t="s">
        <v>651</v>
      </c>
      <c r="D50" s="9" t="s">
        <v>3456</v>
      </c>
      <c r="E50" s="9" t="s">
        <v>3419</v>
      </c>
      <c r="F50" s="9" t="s">
        <v>1926</v>
      </c>
      <c r="G50" s="9" t="s">
        <v>3436</v>
      </c>
      <c r="H50" s="9" t="s">
        <v>193</v>
      </c>
      <c r="I50" s="9" t="s">
        <v>3487</v>
      </c>
      <c r="J50" s="9" t="s">
        <v>3412</v>
      </c>
      <c r="K50" s="9" t="s">
        <v>3413</v>
      </c>
      <c r="L50" s="9" t="s">
        <v>3414</v>
      </c>
    </row>
    <row r="51" customFormat="false" ht="41.25" hidden="false" customHeight="true" outlineLevel="0" collapsed="false">
      <c r="A51" s="9" t="s">
        <v>156</v>
      </c>
      <c r="B51" s="9" t="s">
        <v>638</v>
      </c>
      <c r="C51" s="9" t="s">
        <v>651</v>
      </c>
      <c r="D51" s="9" t="s">
        <v>3488</v>
      </c>
      <c r="E51" s="9" t="s">
        <v>3425</v>
      </c>
      <c r="F51" s="9" t="s">
        <v>1920</v>
      </c>
      <c r="G51" s="9" t="s">
        <v>3436</v>
      </c>
      <c r="H51" s="9" t="s">
        <v>193</v>
      </c>
      <c r="I51" s="9" t="s">
        <v>3487</v>
      </c>
      <c r="J51" s="9" t="s">
        <v>3412</v>
      </c>
      <c r="K51" s="9" t="s">
        <v>3413</v>
      </c>
      <c r="L51" s="9" t="s">
        <v>3414</v>
      </c>
    </row>
    <row r="52" customFormat="false" ht="41.25" hidden="false" customHeight="true" outlineLevel="0" collapsed="false">
      <c r="A52" s="9" t="s">
        <v>156</v>
      </c>
      <c r="B52" s="9" t="s">
        <v>638</v>
      </c>
      <c r="C52" s="9" t="s">
        <v>651</v>
      </c>
      <c r="D52" s="9" t="s">
        <v>3489</v>
      </c>
      <c r="E52" s="9" t="s">
        <v>3409</v>
      </c>
      <c r="F52" s="9" t="s">
        <v>2066</v>
      </c>
      <c r="G52" s="9" t="s">
        <v>3436</v>
      </c>
      <c r="H52" s="9" t="s">
        <v>193</v>
      </c>
      <c r="I52" s="9" t="s">
        <v>3487</v>
      </c>
      <c r="J52" s="9" t="s">
        <v>3412</v>
      </c>
      <c r="K52" s="9" t="s">
        <v>3413</v>
      </c>
      <c r="L52" s="9" t="s">
        <v>3414</v>
      </c>
    </row>
    <row r="53" customFormat="false" ht="41.25" hidden="false" customHeight="true" outlineLevel="0" collapsed="false">
      <c r="A53" s="9" t="s">
        <v>663</v>
      </c>
      <c r="B53" s="9" t="s">
        <v>681</v>
      </c>
      <c r="C53" s="9" t="s">
        <v>667</v>
      </c>
      <c r="D53" s="9" t="s">
        <v>3490</v>
      </c>
      <c r="E53" s="9" t="s">
        <v>3491</v>
      </c>
      <c r="F53" s="9" t="s">
        <v>2246</v>
      </c>
      <c r="G53" s="9" t="s">
        <v>3436</v>
      </c>
      <c r="H53" s="9" t="s">
        <v>193</v>
      </c>
      <c r="I53" s="9" t="s">
        <v>3492</v>
      </c>
      <c r="J53" s="9" t="s">
        <v>3412</v>
      </c>
      <c r="K53" s="9" t="s">
        <v>3413</v>
      </c>
      <c r="L53" s="9" t="s">
        <v>3414</v>
      </c>
    </row>
    <row r="54" customFormat="false" ht="41.25" hidden="false" customHeight="true" outlineLevel="0" collapsed="false">
      <c r="A54" s="9" t="s">
        <v>663</v>
      </c>
      <c r="B54" s="9" t="s">
        <v>681</v>
      </c>
      <c r="C54" s="9" t="s">
        <v>667</v>
      </c>
      <c r="D54" s="9" t="s">
        <v>3493</v>
      </c>
      <c r="E54" s="9" t="s">
        <v>3494</v>
      </c>
      <c r="F54" s="9" t="s">
        <v>2253</v>
      </c>
      <c r="G54" s="9" t="s">
        <v>3436</v>
      </c>
      <c r="H54" s="9" t="s">
        <v>193</v>
      </c>
      <c r="I54" s="9" t="s">
        <v>3492</v>
      </c>
      <c r="J54" s="9" t="s">
        <v>3412</v>
      </c>
      <c r="K54" s="9" t="s">
        <v>3413</v>
      </c>
      <c r="L54" s="9" t="s">
        <v>3414</v>
      </c>
    </row>
    <row r="55" customFormat="false" ht="41.25" hidden="false" customHeight="true" outlineLevel="0" collapsed="false">
      <c r="A55" s="9" t="s">
        <v>663</v>
      </c>
      <c r="B55" s="9" t="s">
        <v>681</v>
      </c>
      <c r="C55" s="9" t="s">
        <v>667</v>
      </c>
      <c r="D55" s="9" t="s">
        <v>3470</v>
      </c>
      <c r="E55" s="9" t="s">
        <v>3471</v>
      </c>
      <c r="F55" s="9" t="s">
        <v>2060</v>
      </c>
      <c r="G55" s="9" t="s">
        <v>3436</v>
      </c>
      <c r="H55" s="9" t="s">
        <v>193</v>
      </c>
      <c r="I55" s="9" t="s">
        <v>3492</v>
      </c>
      <c r="J55" s="9" t="s">
        <v>3412</v>
      </c>
      <c r="K55" s="9" t="s">
        <v>3413</v>
      </c>
      <c r="L55" s="9" t="s">
        <v>3414</v>
      </c>
    </row>
    <row r="56" customFormat="false" ht="41.25" hidden="false" customHeight="true" outlineLevel="0" collapsed="false">
      <c r="A56" s="9" t="s">
        <v>663</v>
      </c>
      <c r="B56" s="9" t="s">
        <v>158</v>
      </c>
      <c r="C56" s="9" t="s">
        <v>703</v>
      </c>
      <c r="D56" s="9" t="s">
        <v>3495</v>
      </c>
      <c r="E56" s="9" t="s">
        <v>3416</v>
      </c>
      <c r="F56" s="9" t="s">
        <v>1706</v>
      </c>
      <c r="G56" s="9" t="s">
        <v>3436</v>
      </c>
      <c r="H56" s="9" t="s">
        <v>193</v>
      </c>
      <c r="I56" s="9" t="s">
        <v>3496</v>
      </c>
      <c r="J56" s="9" t="s">
        <v>3412</v>
      </c>
      <c r="K56" s="9" t="s">
        <v>3413</v>
      </c>
      <c r="L56" s="9" t="s">
        <v>3414</v>
      </c>
    </row>
    <row r="57" customFormat="false" ht="41.25" hidden="false" customHeight="true" outlineLevel="0" collapsed="false">
      <c r="A57" s="9" t="s">
        <v>663</v>
      </c>
      <c r="B57" s="9" t="s">
        <v>158</v>
      </c>
      <c r="C57" s="9" t="s">
        <v>703</v>
      </c>
      <c r="D57" s="9" t="s">
        <v>3452</v>
      </c>
      <c r="E57" s="9" t="s">
        <v>3409</v>
      </c>
      <c r="F57" s="9" t="s">
        <v>1826</v>
      </c>
      <c r="G57" s="9" t="s">
        <v>3436</v>
      </c>
      <c r="H57" s="9" t="s">
        <v>193</v>
      </c>
      <c r="I57" s="9" t="s">
        <v>3496</v>
      </c>
      <c r="J57" s="9" t="s">
        <v>3412</v>
      </c>
      <c r="K57" s="9" t="s">
        <v>3413</v>
      </c>
      <c r="L57" s="9" t="s">
        <v>3414</v>
      </c>
    </row>
    <row r="58" customFormat="false" ht="41.25" hidden="false" customHeight="true" outlineLevel="0" collapsed="false">
      <c r="A58" s="9" t="s">
        <v>663</v>
      </c>
      <c r="B58" s="9" t="s">
        <v>158</v>
      </c>
      <c r="C58" s="9" t="s">
        <v>703</v>
      </c>
      <c r="D58" s="9" t="s">
        <v>3456</v>
      </c>
      <c r="E58" s="9" t="s">
        <v>3419</v>
      </c>
      <c r="F58" s="9" t="s">
        <v>2129</v>
      </c>
      <c r="G58" s="9" t="s">
        <v>3436</v>
      </c>
      <c r="H58" s="9" t="s">
        <v>193</v>
      </c>
      <c r="I58" s="9" t="s">
        <v>3496</v>
      </c>
      <c r="J58" s="9" t="s">
        <v>3412</v>
      </c>
      <c r="K58" s="9" t="s">
        <v>3413</v>
      </c>
      <c r="L58" s="9" t="s">
        <v>3414</v>
      </c>
    </row>
    <row r="59" customFormat="false" ht="41.25" hidden="false" customHeight="true" outlineLevel="0" collapsed="false">
      <c r="A59" s="9" t="s">
        <v>663</v>
      </c>
      <c r="B59" s="9" t="s">
        <v>745</v>
      </c>
      <c r="C59" s="9" t="s">
        <v>748</v>
      </c>
      <c r="D59" s="9" t="s">
        <v>3497</v>
      </c>
      <c r="E59" s="9" t="s">
        <v>3416</v>
      </c>
      <c r="F59" s="9" t="s">
        <v>2306</v>
      </c>
      <c r="G59" s="9" t="s">
        <v>3436</v>
      </c>
      <c r="H59" s="9" t="s">
        <v>193</v>
      </c>
      <c r="I59" s="9" t="s">
        <v>3498</v>
      </c>
      <c r="J59" s="9" t="s">
        <v>3412</v>
      </c>
      <c r="K59" s="9" t="s">
        <v>3413</v>
      </c>
      <c r="L59" s="9" t="s">
        <v>3414</v>
      </c>
    </row>
    <row r="60" customFormat="false" ht="41.25" hidden="false" customHeight="true" outlineLevel="0" collapsed="false">
      <c r="A60" s="9" t="s">
        <v>663</v>
      </c>
      <c r="B60" s="9" t="s">
        <v>745</v>
      </c>
      <c r="C60" s="9" t="s">
        <v>748</v>
      </c>
      <c r="D60" s="9" t="s">
        <v>3499</v>
      </c>
      <c r="E60" s="9" t="s">
        <v>3419</v>
      </c>
      <c r="F60" s="9" t="s">
        <v>1672</v>
      </c>
      <c r="G60" s="9" t="s">
        <v>3436</v>
      </c>
      <c r="H60" s="9" t="s">
        <v>193</v>
      </c>
      <c r="I60" s="9" t="s">
        <v>3498</v>
      </c>
      <c r="J60" s="9" t="s">
        <v>3412</v>
      </c>
      <c r="K60" s="9" t="s">
        <v>3413</v>
      </c>
      <c r="L60" s="9" t="s">
        <v>3414</v>
      </c>
    </row>
    <row r="61" customFormat="false" ht="41.25" hidden="false" customHeight="true" outlineLevel="0" collapsed="false">
      <c r="A61" s="9" t="s">
        <v>663</v>
      </c>
      <c r="B61" s="9" t="s">
        <v>745</v>
      </c>
      <c r="C61" s="9" t="s">
        <v>748</v>
      </c>
      <c r="D61" s="9" t="s">
        <v>3500</v>
      </c>
      <c r="E61" s="9" t="s">
        <v>3416</v>
      </c>
      <c r="F61" s="9" t="s">
        <v>2163</v>
      </c>
      <c r="G61" s="9" t="s">
        <v>3436</v>
      </c>
      <c r="H61" s="9" t="s">
        <v>193</v>
      </c>
      <c r="I61" s="9" t="s">
        <v>3498</v>
      </c>
      <c r="J61" s="9" t="s">
        <v>3412</v>
      </c>
      <c r="K61" s="9" t="s">
        <v>3413</v>
      </c>
      <c r="L61" s="9" t="s">
        <v>3414</v>
      </c>
    </row>
    <row r="62" customFormat="false" ht="41.25" hidden="false" customHeight="true" outlineLevel="0" collapsed="false">
      <c r="A62" s="9" t="s">
        <v>663</v>
      </c>
      <c r="B62" s="9" t="s">
        <v>3462</v>
      </c>
      <c r="C62" s="9" t="s">
        <v>481</v>
      </c>
      <c r="D62" s="9" t="s">
        <v>3470</v>
      </c>
      <c r="E62" s="9" t="s">
        <v>3471</v>
      </c>
      <c r="F62" s="9" t="s">
        <v>2338</v>
      </c>
      <c r="G62" s="9" t="s">
        <v>3436</v>
      </c>
      <c r="H62" s="9" t="s">
        <v>193</v>
      </c>
      <c r="I62" s="9" t="s">
        <v>3501</v>
      </c>
      <c r="J62" s="9" t="s">
        <v>3412</v>
      </c>
      <c r="K62" s="9" t="s">
        <v>3413</v>
      </c>
      <c r="L62" s="9" t="s">
        <v>3414</v>
      </c>
    </row>
    <row r="63" customFormat="false" ht="41.25" hidden="false" customHeight="true" outlineLevel="0" collapsed="false">
      <c r="A63" s="9" t="s">
        <v>663</v>
      </c>
      <c r="B63" s="9" t="s">
        <v>3462</v>
      </c>
      <c r="C63" s="9" t="s">
        <v>481</v>
      </c>
      <c r="D63" s="9" t="s">
        <v>3502</v>
      </c>
      <c r="E63" s="9" t="s">
        <v>3419</v>
      </c>
      <c r="F63" s="9" t="s">
        <v>1672</v>
      </c>
      <c r="G63" s="9" t="s">
        <v>3436</v>
      </c>
      <c r="H63" s="9" t="s">
        <v>193</v>
      </c>
      <c r="I63" s="9" t="s">
        <v>3501</v>
      </c>
      <c r="J63" s="9" t="s">
        <v>3412</v>
      </c>
      <c r="K63" s="9" t="s">
        <v>3413</v>
      </c>
      <c r="L63" s="9" t="s">
        <v>3414</v>
      </c>
    </row>
    <row r="64" customFormat="false" ht="41.25" hidden="false" customHeight="true" outlineLevel="0" collapsed="false">
      <c r="A64" s="9" t="s">
        <v>663</v>
      </c>
      <c r="B64" s="9" t="s">
        <v>3462</v>
      </c>
      <c r="C64" s="9" t="s">
        <v>481</v>
      </c>
      <c r="D64" s="9" t="s">
        <v>3503</v>
      </c>
      <c r="E64" s="9" t="s">
        <v>3471</v>
      </c>
      <c r="F64" s="9" t="s">
        <v>2347</v>
      </c>
      <c r="G64" s="9" t="s">
        <v>3436</v>
      </c>
      <c r="H64" s="9" t="s">
        <v>193</v>
      </c>
      <c r="I64" s="9" t="s">
        <v>3501</v>
      </c>
      <c r="J64" s="9" t="s">
        <v>3412</v>
      </c>
      <c r="K64" s="9" t="s">
        <v>3413</v>
      </c>
      <c r="L64" s="9" t="s">
        <v>3414</v>
      </c>
    </row>
    <row r="65" customFormat="false" ht="41.25" hidden="false" customHeight="true" outlineLevel="0" collapsed="false">
      <c r="A65" s="9" t="s">
        <v>663</v>
      </c>
      <c r="B65" s="9" t="s">
        <v>803</v>
      </c>
      <c r="C65" s="9" t="s">
        <v>806</v>
      </c>
      <c r="D65" s="9" t="s">
        <v>3504</v>
      </c>
      <c r="E65" s="9" t="s">
        <v>3409</v>
      </c>
      <c r="F65" s="9" t="s">
        <v>1826</v>
      </c>
      <c r="G65" s="9" t="s">
        <v>3436</v>
      </c>
      <c r="H65" s="9" t="s">
        <v>193</v>
      </c>
      <c r="I65" s="9" t="s">
        <v>3505</v>
      </c>
      <c r="J65" s="9" t="s">
        <v>3412</v>
      </c>
      <c r="K65" s="9" t="s">
        <v>3413</v>
      </c>
      <c r="L65" s="9" t="s">
        <v>3414</v>
      </c>
    </row>
    <row r="66" customFormat="false" ht="41.25" hidden="false" customHeight="true" outlineLevel="0" collapsed="false">
      <c r="A66" s="9" t="s">
        <v>663</v>
      </c>
      <c r="B66" s="9" t="s">
        <v>803</v>
      </c>
      <c r="C66" s="9" t="s">
        <v>806</v>
      </c>
      <c r="D66" s="9" t="s">
        <v>3506</v>
      </c>
      <c r="E66" s="9" t="s">
        <v>3435</v>
      </c>
      <c r="F66" s="9" t="s">
        <v>1826</v>
      </c>
      <c r="G66" s="9" t="s">
        <v>3436</v>
      </c>
      <c r="H66" s="9" t="s">
        <v>193</v>
      </c>
      <c r="I66" s="9" t="s">
        <v>3505</v>
      </c>
      <c r="J66" s="9" t="s">
        <v>3412</v>
      </c>
      <c r="K66" s="9" t="s">
        <v>3413</v>
      </c>
      <c r="L66" s="9" t="s">
        <v>3414</v>
      </c>
    </row>
    <row r="67" customFormat="false" ht="41.25" hidden="false" customHeight="true" outlineLevel="0" collapsed="false">
      <c r="A67" s="9" t="s">
        <v>663</v>
      </c>
      <c r="B67" s="9" t="s">
        <v>803</v>
      </c>
      <c r="C67" s="9" t="s">
        <v>806</v>
      </c>
      <c r="D67" s="9" t="s">
        <v>3507</v>
      </c>
      <c r="E67" s="9" t="s">
        <v>3435</v>
      </c>
      <c r="F67" s="9" t="s">
        <v>1931</v>
      </c>
      <c r="G67" s="9" t="s">
        <v>3436</v>
      </c>
      <c r="H67" s="9" t="s">
        <v>193</v>
      </c>
      <c r="I67" s="9" t="s">
        <v>3505</v>
      </c>
      <c r="J67" s="9" t="s">
        <v>3412</v>
      </c>
      <c r="K67" s="9" t="s">
        <v>3413</v>
      </c>
      <c r="L67" s="9" t="s">
        <v>3414</v>
      </c>
    </row>
    <row r="68" customFormat="false" ht="41.25" hidden="false" customHeight="true" outlineLevel="0" collapsed="false">
      <c r="A68" s="9" t="s">
        <v>663</v>
      </c>
      <c r="B68" s="9" t="s">
        <v>158</v>
      </c>
      <c r="C68" s="9" t="s">
        <v>703</v>
      </c>
      <c r="D68" s="9" t="s">
        <v>3508</v>
      </c>
      <c r="E68" s="9" t="s">
        <v>3409</v>
      </c>
      <c r="F68" s="9" t="s">
        <v>2066</v>
      </c>
      <c r="G68" s="9" t="s">
        <v>3436</v>
      </c>
      <c r="H68" s="9" t="s">
        <v>193</v>
      </c>
      <c r="I68" s="9" t="s">
        <v>3509</v>
      </c>
      <c r="J68" s="9" t="s">
        <v>3412</v>
      </c>
      <c r="K68" s="9" t="s">
        <v>3413</v>
      </c>
      <c r="L68" s="9" t="s">
        <v>3414</v>
      </c>
    </row>
    <row r="69" customFormat="false" ht="41.25" hidden="false" customHeight="true" outlineLevel="0" collapsed="false">
      <c r="A69" s="9" t="s">
        <v>663</v>
      </c>
      <c r="B69" s="9" t="s">
        <v>158</v>
      </c>
      <c r="C69" s="9" t="s">
        <v>703</v>
      </c>
      <c r="D69" s="9" t="s">
        <v>3510</v>
      </c>
      <c r="E69" s="9" t="s">
        <v>3419</v>
      </c>
      <c r="F69" s="9" t="s">
        <v>2129</v>
      </c>
      <c r="G69" s="9" t="s">
        <v>3436</v>
      </c>
      <c r="H69" s="9" t="s">
        <v>193</v>
      </c>
      <c r="I69" s="9" t="s">
        <v>3509</v>
      </c>
      <c r="J69" s="9" t="s">
        <v>3412</v>
      </c>
      <c r="K69" s="9" t="s">
        <v>3413</v>
      </c>
      <c r="L69" s="9" t="s">
        <v>3414</v>
      </c>
    </row>
    <row r="70" customFormat="false" ht="41.25" hidden="false" customHeight="true" outlineLevel="0" collapsed="false">
      <c r="A70" s="9" t="s">
        <v>663</v>
      </c>
      <c r="B70" s="9" t="s">
        <v>3462</v>
      </c>
      <c r="C70" s="9" t="s">
        <v>481</v>
      </c>
      <c r="D70" s="9" t="s">
        <v>3511</v>
      </c>
      <c r="E70" s="9" t="s">
        <v>3419</v>
      </c>
      <c r="F70" s="9" t="s">
        <v>1672</v>
      </c>
      <c r="G70" s="9" t="s">
        <v>3436</v>
      </c>
      <c r="H70" s="9" t="s">
        <v>193</v>
      </c>
      <c r="I70" s="9" t="s">
        <v>3512</v>
      </c>
      <c r="J70" s="9" t="s">
        <v>3412</v>
      </c>
      <c r="K70" s="9" t="s">
        <v>3413</v>
      </c>
      <c r="L70" s="9" t="s">
        <v>3414</v>
      </c>
    </row>
    <row r="71" customFormat="false" ht="41.25" hidden="false" customHeight="true" outlineLevel="0" collapsed="false">
      <c r="A71" s="9" t="s">
        <v>663</v>
      </c>
      <c r="B71" s="9" t="s">
        <v>3462</v>
      </c>
      <c r="C71" s="9" t="s">
        <v>481</v>
      </c>
      <c r="D71" s="9" t="s">
        <v>3513</v>
      </c>
      <c r="E71" s="9" t="s">
        <v>3471</v>
      </c>
      <c r="F71" s="9" t="s">
        <v>2347</v>
      </c>
      <c r="G71" s="9" t="s">
        <v>3436</v>
      </c>
      <c r="H71" s="9" t="s">
        <v>193</v>
      </c>
      <c r="I71" s="9" t="s">
        <v>3512</v>
      </c>
      <c r="J71" s="9" t="s">
        <v>3412</v>
      </c>
      <c r="K71" s="9" t="s">
        <v>3413</v>
      </c>
      <c r="L71" s="9" t="s">
        <v>3414</v>
      </c>
    </row>
    <row r="72" customFormat="false" ht="41.25" hidden="false" customHeight="true" outlineLevel="0" collapsed="false">
      <c r="A72" s="9" t="s">
        <v>663</v>
      </c>
      <c r="B72" s="9" t="s">
        <v>3462</v>
      </c>
      <c r="C72" s="9" t="s">
        <v>481</v>
      </c>
      <c r="D72" s="9" t="s">
        <v>3514</v>
      </c>
      <c r="E72" s="9" t="s">
        <v>3435</v>
      </c>
      <c r="F72" s="9" t="s">
        <v>1931</v>
      </c>
      <c r="G72" s="9" t="s">
        <v>3436</v>
      </c>
      <c r="H72" s="9" t="s">
        <v>193</v>
      </c>
      <c r="I72" s="9" t="s">
        <v>3512</v>
      </c>
      <c r="J72" s="9" t="s">
        <v>3412</v>
      </c>
      <c r="K72" s="9" t="s">
        <v>3413</v>
      </c>
      <c r="L72" s="9" t="s">
        <v>3414</v>
      </c>
    </row>
    <row r="73" customFormat="false" ht="41.25" hidden="false" customHeight="true" outlineLevel="0" collapsed="false">
      <c r="A73" s="9" t="s">
        <v>663</v>
      </c>
      <c r="B73" s="9" t="s">
        <v>880</v>
      </c>
      <c r="C73" s="9" t="s">
        <v>883</v>
      </c>
      <c r="D73" s="9" t="s">
        <v>3515</v>
      </c>
      <c r="E73" s="9" t="s">
        <v>3471</v>
      </c>
      <c r="F73" s="9" t="s">
        <v>2338</v>
      </c>
      <c r="G73" s="9" t="s">
        <v>3436</v>
      </c>
      <c r="H73" s="9" t="s">
        <v>193</v>
      </c>
      <c r="I73" s="9" t="s">
        <v>3516</v>
      </c>
      <c r="J73" s="9" t="s">
        <v>3412</v>
      </c>
      <c r="K73" s="9" t="s">
        <v>3413</v>
      </c>
      <c r="L73" s="9" t="s">
        <v>3414</v>
      </c>
    </row>
    <row r="74" customFormat="false" ht="41.25" hidden="false" customHeight="true" outlineLevel="0" collapsed="false">
      <c r="A74" s="9" t="s">
        <v>663</v>
      </c>
      <c r="B74" s="9" t="s">
        <v>880</v>
      </c>
      <c r="C74" s="9" t="s">
        <v>883</v>
      </c>
      <c r="D74" s="9" t="s">
        <v>3499</v>
      </c>
      <c r="E74" s="9" t="s">
        <v>3419</v>
      </c>
      <c r="F74" s="9" t="s">
        <v>2129</v>
      </c>
      <c r="G74" s="9" t="s">
        <v>3436</v>
      </c>
      <c r="H74" s="9" t="s">
        <v>193</v>
      </c>
      <c r="I74" s="9" t="s">
        <v>3516</v>
      </c>
      <c r="J74" s="9" t="s">
        <v>3412</v>
      </c>
      <c r="K74" s="9" t="s">
        <v>3413</v>
      </c>
      <c r="L74" s="9" t="s">
        <v>3414</v>
      </c>
    </row>
    <row r="75" customFormat="false" ht="41.25" hidden="false" customHeight="true" outlineLevel="0" collapsed="false">
      <c r="A75" s="9" t="s">
        <v>663</v>
      </c>
      <c r="B75" s="9" t="s">
        <v>880</v>
      </c>
      <c r="C75" s="9" t="s">
        <v>883</v>
      </c>
      <c r="D75" s="9" t="s">
        <v>3517</v>
      </c>
      <c r="E75" s="9" t="s">
        <v>3435</v>
      </c>
      <c r="F75" s="9" t="s">
        <v>1931</v>
      </c>
      <c r="G75" s="9" t="s">
        <v>3436</v>
      </c>
      <c r="H75" s="9" t="s">
        <v>193</v>
      </c>
      <c r="I75" s="9" t="s">
        <v>3516</v>
      </c>
      <c r="J75" s="9" t="s">
        <v>3412</v>
      </c>
      <c r="K75" s="9" t="s">
        <v>3413</v>
      </c>
      <c r="L75" s="9" t="s">
        <v>3414</v>
      </c>
    </row>
    <row r="76" customFormat="false" ht="41.25" hidden="false" customHeight="true" outlineLevel="0" collapsed="false">
      <c r="A76" s="9" t="s">
        <v>663</v>
      </c>
      <c r="B76" s="9" t="s">
        <v>681</v>
      </c>
      <c r="C76" s="9" t="s">
        <v>667</v>
      </c>
      <c r="D76" s="9" t="s">
        <v>3518</v>
      </c>
      <c r="E76" s="9" t="s">
        <v>3435</v>
      </c>
      <c r="F76" s="9" t="s">
        <v>2495</v>
      </c>
      <c r="G76" s="9" t="s">
        <v>3436</v>
      </c>
      <c r="H76" s="9" t="s">
        <v>193</v>
      </c>
      <c r="I76" s="9" t="s">
        <v>3519</v>
      </c>
      <c r="J76" s="9" t="s">
        <v>3412</v>
      </c>
      <c r="K76" s="9" t="s">
        <v>3413</v>
      </c>
      <c r="L76" s="9" t="s">
        <v>3414</v>
      </c>
    </row>
    <row r="77" customFormat="false" ht="41.25" hidden="false" customHeight="true" outlineLevel="0" collapsed="false">
      <c r="A77" s="9" t="s">
        <v>663</v>
      </c>
      <c r="B77" s="9" t="s">
        <v>681</v>
      </c>
      <c r="C77" s="9" t="s">
        <v>667</v>
      </c>
      <c r="D77" s="9" t="s">
        <v>3520</v>
      </c>
      <c r="E77" s="9" t="s">
        <v>3416</v>
      </c>
      <c r="F77" s="9" t="s">
        <v>2163</v>
      </c>
      <c r="G77" s="9" t="s">
        <v>3436</v>
      </c>
      <c r="H77" s="9" t="s">
        <v>193</v>
      </c>
      <c r="I77" s="9" t="s">
        <v>3519</v>
      </c>
      <c r="J77" s="9" t="s">
        <v>3412</v>
      </c>
      <c r="K77" s="9" t="s">
        <v>3413</v>
      </c>
      <c r="L77" s="9" t="s">
        <v>3414</v>
      </c>
    </row>
    <row r="78" customFormat="false" ht="41.25" hidden="false" customHeight="true" outlineLevel="0" collapsed="false">
      <c r="A78" s="9" t="s">
        <v>663</v>
      </c>
      <c r="B78" s="9" t="s">
        <v>681</v>
      </c>
      <c r="C78" s="9" t="s">
        <v>667</v>
      </c>
      <c r="D78" s="9" t="s">
        <v>3521</v>
      </c>
      <c r="E78" s="9" t="s">
        <v>3435</v>
      </c>
      <c r="F78" s="9" t="s">
        <v>1931</v>
      </c>
      <c r="G78" s="9" t="s">
        <v>3436</v>
      </c>
      <c r="H78" s="9" t="s">
        <v>193</v>
      </c>
      <c r="I78" s="9" t="s">
        <v>3519</v>
      </c>
      <c r="J78" s="9" t="s">
        <v>3412</v>
      </c>
      <c r="K78" s="9" t="s">
        <v>3413</v>
      </c>
      <c r="L78" s="9" t="s">
        <v>3414</v>
      </c>
    </row>
    <row r="79" customFormat="false" ht="41.25" hidden="false" customHeight="true" outlineLevel="0" collapsed="false">
      <c r="A79" s="9" t="s">
        <v>663</v>
      </c>
      <c r="B79" s="9" t="s">
        <v>3462</v>
      </c>
      <c r="C79" s="9" t="s">
        <v>481</v>
      </c>
      <c r="D79" s="9" t="s">
        <v>3522</v>
      </c>
      <c r="E79" s="9" t="s">
        <v>3467</v>
      </c>
      <c r="F79" s="9" t="s">
        <v>2030</v>
      </c>
      <c r="G79" s="9" t="s">
        <v>3436</v>
      </c>
      <c r="H79" s="9" t="s">
        <v>193</v>
      </c>
      <c r="I79" s="9" t="s">
        <v>3523</v>
      </c>
      <c r="J79" s="9" t="s">
        <v>3412</v>
      </c>
      <c r="K79" s="9" t="s">
        <v>3413</v>
      </c>
      <c r="L79" s="9" t="s">
        <v>3414</v>
      </c>
    </row>
    <row r="80" customFormat="false" ht="41.25" hidden="false" customHeight="true" outlineLevel="0" collapsed="false">
      <c r="A80" s="9" t="s">
        <v>663</v>
      </c>
      <c r="B80" s="9" t="s">
        <v>3462</v>
      </c>
      <c r="C80" s="9" t="s">
        <v>481</v>
      </c>
      <c r="D80" s="9" t="s">
        <v>3524</v>
      </c>
      <c r="E80" s="9" t="s">
        <v>3435</v>
      </c>
      <c r="F80" s="9" t="s">
        <v>2532</v>
      </c>
      <c r="G80" s="9" t="s">
        <v>3436</v>
      </c>
      <c r="H80" s="9" t="s">
        <v>193</v>
      </c>
      <c r="I80" s="9" t="s">
        <v>3523</v>
      </c>
      <c r="J80" s="9" t="s">
        <v>3412</v>
      </c>
      <c r="K80" s="9" t="s">
        <v>3413</v>
      </c>
      <c r="L80" s="9" t="s">
        <v>3414</v>
      </c>
    </row>
    <row r="81" customFormat="false" ht="41.25" hidden="false" customHeight="true" outlineLevel="0" collapsed="false">
      <c r="A81" s="9" t="s">
        <v>663</v>
      </c>
      <c r="B81" s="9" t="s">
        <v>3462</v>
      </c>
      <c r="C81" s="9" t="s">
        <v>481</v>
      </c>
      <c r="D81" s="9" t="s">
        <v>3525</v>
      </c>
      <c r="E81" s="9" t="s">
        <v>3435</v>
      </c>
      <c r="F81" s="9" t="s">
        <v>1931</v>
      </c>
      <c r="G81" s="9" t="s">
        <v>3436</v>
      </c>
      <c r="H81" s="9" t="s">
        <v>193</v>
      </c>
      <c r="I81" s="9" t="s">
        <v>3523</v>
      </c>
      <c r="J81" s="9" t="s">
        <v>3412</v>
      </c>
      <c r="K81" s="9" t="s">
        <v>3413</v>
      </c>
      <c r="L81" s="9" t="s">
        <v>3414</v>
      </c>
    </row>
    <row r="82" customFormat="false" ht="41.25" hidden="false" customHeight="true" outlineLevel="0" collapsed="false">
      <c r="A82" s="9" t="s">
        <v>663</v>
      </c>
      <c r="B82" s="9" t="s">
        <v>961</v>
      </c>
      <c r="C82" s="9" t="s">
        <v>964</v>
      </c>
      <c r="D82" s="9" t="s">
        <v>3499</v>
      </c>
      <c r="E82" s="9" t="s">
        <v>3419</v>
      </c>
      <c r="F82" s="9" t="s">
        <v>2555</v>
      </c>
      <c r="G82" s="9" t="s">
        <v>3436</v>
      </c>
      <c r="H82" s="9" t="s">
        <v>193</v>
      </c>
      <c r="I82" s="9" t="s">
        <v>3526</v>
      </c>
      <c r="J82" s="9" t="s">
        <v>3412</v>
      </c>
      <c r="K82" s="9" t="s">
        <v>3413</v>
      </c>
      <c r="L82" s="9" t="s">
        <v>3414</v>
      </c>
    </row>
    <row r="83" customFormat="false" ht="41.25" hidden="false" customHeight="true" outlineLevel="0" collapsed="false">
      <c r="A83" s="9" t="s">
        <v>663</v>
      </c>
      <c r="B83" s="9" t="s">
        <v>961</v>
      </c>
      <c r="C83" s="9" t="s">
        <v>964</v>
      </c>
      <c r="D83" s="9" t="s">
        <v>3527</v>
      </c>
      <c r="E83" s="9" t="s">
        <v>3435</v>
      </c>
      <c r="F83" s="9" t="s">
        <v>1931</v>
      </c>
      <c r="G83" s="9" t="s">
        <v>3436</v>
      </c>
      <c r="H83" s="9" t="s">
        <v>193</v>
      </c>
      <c r="I83" s="9" t="s">
        <v>3526</v>
      </c>
      <c r="J83" s="9" t="s">
        <v>3412</v>
      </c>
      <c r="K83" s="9" t="s">
        <v>3413</v>
      </c>
      <c r="L83" s="9" t="s">
        <v>3414</v>
      </c>
    </row>
    <row r="84" customFormat="false" ht="41.25" hidden="false" customHeight="true" outlineLevel="0" collapsed="false">
      <c r="A84" s="9" t="s">
        <v>663</v>
      </c>
      <c r="B84" s="9" t="s">
        <v>961</v>
      </c>
      <c r="C84" s="9" t="s">
        <v>964</v>
      </c>
      <c r="D84" s="9" t="s">
        <v>3513</v>
      </c>
      <c r="E84" s="9" t="s">
        <v>3471</v>
      </c>
      <c r="F84" s="9" t="s">
        <v>2347</v>
      </c>
      <c r="G84" s="9" t="s">
        <v>3436</v>
      </c>
      <c r="H84" s="9" t="s">
        <v>193</v>
      </c>
      <c r="I84" s="9" t="s">
        <v>3526</v>
      </c>
      <c r="J84" s="9" t="s">
        <v>3412</v>
      </c>
      <c r="K84" s="9" t="s">
        <v>3413</v>
      </c>
      <c r="L84" s="9" t="s">
        <v>3414</v>
      </c>
    </row>
    <row r="85" customFormat="false" ht="41.25" hidden="false" customHeight="true" outlineLevel="0" collapsed="false">
      <c r="A85" s="9" t="s">
        <v>663</v>
      </c>
      <c r="B85" s="9" t="s">
        <v>745</v>
      </c>
      <c r="C85" s="9" t="s">
        <v>748</v>
      </c>
      <c r="D85" s="9" t="s">
        <v>603</v>
      </c>
      <c r="E85" s="9" t="s">
        <v>3409</v>
      </c>
      <c r="F85" s="9" t="s">
        <v>2066</v>
      </c>
      <c r="G85" s="9" t="s">
        <v>3436</v>
      </c>
      <c r="H85" s="9" t="s">
        <v>193</v>
      </c>
      <c r="I85" s="9" t="s">
        <v>3528</v>
      </c>
      <c r="J85" s="9" t="s">
        <v>3412</v>
      </c>
      <c r="K85" s="9" t="s">
        <v>3413</v>
      </c>
      <c r="L85" s="9" t="s">
        <v>3414</v>
      </c>
    </row>
    <row r="86" customFormat="false" ht="41.25" hidden="false" customHeight="true" outlineLevel="0" collapsed="false">
      <c r="A86" s="9" t="s">
        <v>663</v>
      </c>
      <c r="B86" s="9" t="s">
        <v>745</v>
      </c>
      <c r="C86" s="9" t="s">
        <v>748</v>
      </c>
      <c r="D86" s="9" t="s">
        <v>387</v>
      </c>
      <c r="E86" s="9" t="s">
        <v>3416</v>
      </c>
      <c r="F86" s="9" t="s">
        <v>2163</v>
      </c>
      <c r="G86" s="9" t="s">
        <v>3436</v>
      </c>
      <c r="H86" s="9" t="s">
        <v>193</v>
      </c>
      <c r="I86" s="9" t="s">
        <v>3528</v>
      </c>
      <c r="J86" s="9" t="s">
        <v>3412</v>
      </c>
      <c r="K86" s="9" t="s">
        <v>3413</v>
      </c>
      <c r="L86" s="9" t="s">
        <v>3414</v>
      </c>
    </row>
    <row r="87" customFormat="false" ht="41.25" hidden="false" customHeight="true" outlineLevel="0" collapsed="false">
      <c r="A87" s="9" t="s">
        <v>663</v>
      </c>
      <c r="B87" s="9" t="s">
        <v>745</v>
      </c>
      <c r="C87" s="9" t="s">
        <v>748</v>
      </c>
      <c r="D87" s="9" t="s">
        <v>3529</v>
      </c>
      <c r="E87" s="9" t="s">
        <v>3474</v>
      </c>
      <c r="F87" s="9" t="s">
        <v>2592</v>
      </c>
      <c r="G87" s="9" t="s">
        <v>3436</v>
      </c>
      <c r="H87" s="9" t="s">
        <v>193</v>
      </c>
      <c r="I87" s="9" t="s">
        <v>3528</v>
      </c>
      <c r="J87" s="9" t="s">
        <v>3412</v>
      </c>
      <c r="K87" s="9" t="s">
        <v>3413</v>
      </c>
      <c r="L87" s="9" t="s">
        <v>3414</v>
      </c>
    </row>
    <row r="88" customFormat="false" ht="41.25" hidden="false" customHeight="true" outlineLevel="0" collapsed="false">
      <c r="A88" s="9" t="s">
        <v>663</v>
      </c>
      <c r="B88" s="9" t="s">
        <v>1003</v>
      </c>
      <c r="C88" s="9" t="s">
        <v>1013</v>
      </c>
      <c r="D88" s="9" t="s">
        <v>603</v>
      </c>
      <c r="E88" s="9" t="s">
        <v>3409</v>
      </c>
      <c r="F88" s="9" t="s">
        <v>2066</v>
      </c>
      <c r="G88" s="9" t="s">
        <v>3436</v>
      </c>
      <c r="H88" s="9" t="s">
        <v>193</v>
      </c>
      <c r="I88" s="9" t="s">
        <v>3530</v>
      </c>
      <c r="J88" s="9" t="s">
        <v>3412</v>
      </c>
      <c r="K88" s="9" t="s">
        <v>3413</v>
      </c>
      <c r="L88" s="9" t="s">
        <v>3414</v>
      </c>
    </row>
    <row r="89" customFormat="false" ht="41.25" hidden="false" customHeight="true" outlineLevel="0" collapsed="false">
      <c r="A89" s="9" t="s">
        <v>663</v>
      </c>
      <c r="B89" s="9" t="s">
        <v>1003</v>
      </c>
      <c r="C89" s="9" t="s">
        <v>1013</v>
      </c>
      <c r="D89" s="9" t="s">
        <v>3531</v>
      </c>
      <c r="E89" s="9" t="s">
        <v>3435</v>
      </c>
      <c r="F89" s="9" t="s">
        <v>1931</v>
      </c>
      <c r="G89" s="9" t="s">
        <v>3436</v>
      </c>
      <c r="H89" s="9" t="s">
        <v>193</v>
      </c>
      <c r="I89" s="9" t="s">
        <v>3530</v>
      </c>
      <c r="J89" s="9" t="s">
        <v>3412</v>
      </c>
      <c r="K89" s="9" t="s">
        <v>3413</v>
      </c>
      <c r="L89" s="9" t="s">
        <v>3414</v>
      </c>
    </row>
    <row r="90" customFormat="false" ht="41.25" hidden="false" customHeight="true" outlineLevel="0" collapsed="false">
      <c r="A90" s="9" t="s">
        <v>663</v>
      </c>
      <c r="B90" s="9" t="s">
        <v>1003</v>
      </c>
      <c r="C90" s="9" t="s">
        <v>1013</v>
      </c>
      <c r="D90" s="9" t="s">
        <v>3506</v>
      </c>
      <c r="E90" s="9" t="s">
        <v>3435</v>
      </c>
      <c r="F90" s="9" t="s">
        <v>1931</v>
      </c>
      <c r="G90" s="9" t="s">
        <v>3436</v>
      </c>
      <c r="H90" s="9" t="s">
        <v>193</v>
      </c>
      <c r="I90" s="9" t="s">
        <v>3530</v>
      </c>
      <c r="J90" s="9" t="s">
        <v>3412</v>
      </c>
      <c r="K90" s="9" t="s">
        <v>3413</v>
      </c>
      <c r="L90" s="9" t="s">
        <v>3414</v>
      </c>
    </row>
    <row r="91" customFormat="false" ht="41.25" hidden="false" customHeight="true" outlineLevel="0" collapsed="false">
      <c r="A91" s="9" t="s">
        <v>663</v>
      </c>
      <c r="B91" s="9" t="s">
        <v>1024</v>
      </c>
      <c r="C91" s="9" t="s">
        <v>1034</v>
      </c>
      <c r="D91" s="9" t="s">
        <v>3452</v>
      </c>
      <c r="E91" s="9" t="s">
        <v>3409</v>
      </c>
      <c r="F91" s="9" t="s">
        <v>2066</v>
      </c>
      <c r="G91" s="9" t="s">
        <v>3436</v>
      </c>
      <c r="H91" s="9" t="s">
        <v>193</v>
      </c>
      <c r="I91" s="9" t="s">
        <v>3532</v>
      </c>
      <c r="J91" s="9" t="s">
        <v>3412</v>
      </c>
      <c r="K91" s="9" t="s">
        <v>3413</v>
      </c>
      <c r="L91" s="9" t="s">
        <v>3414</v>
      </c>
    </row>
    <row r="92" customFormat="false" ht="41.25" hidden="false" customHeight="true" outlineLevel="0" collapsed="false">
      <c r="A92" s="9" t="s">
        <v>663</v>
      </c>
      <c r="B92" s="9" t="s">
        <v>1024</v>
      </c>
      <c r="C92" s="9" t="s">
        <v>1034</v>
      </c>
      <c r="D92" s="9" t="s">
        <v>3533</v>
      </c>
      <c r="E92" s="9" t="s">
        <v>3419</v>
      </c>
      <c r="F92" s="9" t="s">
        <v>2129</v>
      </c>
      <c r="G92" s="9" t="s">
        <v>3436</v>
      </c>
      <c r="H92" s="9" t="s">
        <v>193</v>
      </c>
      <c r="I92" s="9" t="s">
        <v>3532</v>
      </c>
      <c r="J92" s="9" t="s">
        <v>3412</v>
      </c>
      <c r="K92" s="9" t="s">
        <v>3413</v>
      </c>
      <c r="L92" s="9" t="s">
        <v>3414</v>
      </c>
    </row>
    <row r="93" customFormat="false" ht="41.25" hidden="false" customHeight="true" outlineLevel="0" collapsed="false">
      <c r="A93" s="9" t="s">
        <v>663</v>
      </c>
      <c r="B93" s="9" t="s">
        <v>1024</v>
      </c>
      <c r="C93" s="9" t="s">
        <v>1034</v>
      </c>
      <c r="D93" s="9" t="s">
        <v>387</v>
      </c>
      <c r="E93" s="9" t="s">
        <v>3416</v>
      </c>
      <c r="F93" s="9" t="s">
        <v>2163</v>
      </c>
      <c r="G93" s="9" t="s">
        <v>3436</v>
      </c>
      <c r="H93" s="9" t="s">
        <v>193</v>
      </c>
      <c r="I93" s="9" t="s">
        <v>3532</v>
      </c>
      <c r="J93" s="9" t="s">
        <v>3412</v>
      </c>
      <c r="K93" s="9" t="s">
        <v>3413</v>
      </c>
      <c r="L93" s="9" t="s">
        <v>3414</v>
      </c>
    </row>
    <row r="94" customFormat="false" ht="41.25" hidden="false" customHeight="true" outlineLevel="0" collapsed="false">
      <c r="A94" s="9" t="s">
        <v>663</v>
      </c>
      <c r="B94" s="9" t="s">
        <v>803</v>
      </c>
      <c r="C94" s="9" t="s">
        <v>1056</v>
      </c>
      <c r="D94" s="9" t="s">
        <v>3534</v>
      </c>
      <c r="E94" s="9" t="s">
        <v>3419</v>
      </c>
      <c r="F94" s="9" t="s">
        <v>2129</v>
      </c>
      <c r="G94" s="9" t="s">
        <v>3436</v>
      </c>
      <c r="H94" s="9" t="s">
        <v>193</v>
      </c>
      <c r="I94" s="9" t="s">
        <v>3535</v>
      </c>
      <c r="J94" s="9" t="s">
        <v>3412</v>
      </c>
      <c r="K94" s="9" t="s">
        <v>3413</v>
      </c>
      <c r="L94" s="9" t="s">
        <v>3414</v>
      </c>
    </row>
    <row r="95" customFormat="false" ht="41.25" hidden="false" customHeight="true" outlineLevel="0" collapsed="false">
      <c r="A95" s="9" t="s">
        <v>663</v>
      </c>
      <c r="B95" s="9" t="s">
        <v>803</v>
      </c>
      <c r="C95" s="9" t="s">
        <v>1056</v>
      </c>
      <c r="D95" s="9" t="s">
        <v>603</v>
      </c>
      <c r="E95" s="9" t="s">
        <v>3409</v>
      </c>
      <c r="F95" s="9" t="s">
        <v>2066</v>
      </c>
      <c r="G95" s="9" t="s">
        <v>3436</v>
      </c>
      <c r="H95" s="9" t="s">
        <v>193</v>
      </c>
      <c r="I95" s="9" t="s">
        <v>3535</v>
      </c>
      <c r="J95" s="9" t="s">
        <v>3412</v>
      </c>
      <c r="K95" s="9" t="s">
        <v>3413</v>
      </c>
      <c r="L95" s="9" t="s">
        <v>3414</v>
      </c>
    </row>
    <row r="96" customFormat="false" ht="41.25" hidden="false" customHeight="true" outlineLevel="0" collapsed="false">
      <c r="A96" s="9" t="s">
        <v>663</v>
      </c>
      <c r="B96" s="9" t="s">
        <v>803</v>
      </c>
      <c r="C96" s="9" t="s">
        <v>1056</v>
      </c>
      <c r="D96" s="9" t="s">
        <v>933</v>
      </c>
      <c r="E96" s="9" t="s">
        <v>3467</v>
      </c>
      <c r="F96" s="9" t="s">
        <v>2030</v>
      </c>
      <c r="G96" s="9" t="s">
        <v>3436</v>
      </c>
      <c r="H96" s="9" t="s">
        <v>193</v>
      </c>
      <c r="I96" s="9" t="s">
        <v>3535</v>
      </c>
      <c r="J96" s="9" t="s">
        <v>3412</v>
      </c>
      <c r="K96" s="9" t="s">
        <v>3413</v>
      </c>
      <c r="L96" s="9" t="s">
        <v>3414</v>
      </c>
    </row>
    <row r="97" customFormat="false" ht="41.25" hidden="false" customHeight="true" outlineLevel="0" collapsed="false">
      <c r="A97" s="9" t="s">
        <v>663</v>
      </c>
      <c r="B97" s="9" t="s">
        <v>158</v>
      </c>
      <c r="C97" s="9" t="s">
        <v>1076</v>
      </c>
      <c r="D97" s="9" t="s">
        <v>3536</v>
      </c>
      <c r="E97" s="9" t="s">
        <v>3471</v>
      </c>
      <c r="F97" s="9" t="s">
        <v>2532</v>
      </c>
      <c r="G97" s="9" t="s">
        <v>3436</v>
      </c>
      <c r="H97" s="9" t="s">
        <v>193</v>
      </c>
      <c r="I97" s="9" t="s">
        <v>3537</v>
      </c>
      <c r="J97" s="9" t="s">
        <v>3412</v>
      </c>
      <c r="K97" s="9" t="s">
        <v>3413</v>
      </c>
      <c r="L97" s="9" t="s">
        <v>3414</v>
      </c>
    </row>
    <row r="98" customFormat="false" ht="41.25" hidden="false" customHeight="true" outlineLevel="0" collapsed="false">
      <c r="A98" s="9" t="s">
        <v>663</v>
      </c>
      <c r="B98" s="9" t="s">
        <v>158</v>
      </c>
      <c r="C98" s="9" t="s">
        <v>1076</v>
      </c>
      <c r="D98" s="9" t="s">
        <v>603</v>
      </c>
      <c r="E98" s="9" t="s">
        <v>3409</v>
      </c>
      <c r="F98" s="9" t="s">
        <v>2066</v>
      </c>
      <c r="G98" s="9" t="s">
        <v>3436</v>
      </c>
      <c r="H98" s="9" t="s">
        <v>193</v>
      </c>
      <c r="I98" s="9" t="s">
        <v>3537</v>
      </c>
      <c r="J98" s="9" t="s">
        <v>3412</v>
      </c>
      <c r="K98" s="9" t="s">
        <v>3413</v>
      </c>
      <c r="L98" s="9" t="s">
        <v>3414</v>
      </c>
    </row>
    <row r="99" customFormat="false" ht="41.25" hidden="false" customHeight="true" outlineLevel="0" collapsed="false">
      <c r="A99" s="9" t="s">
        <v>663</v>
      </c>
      <c r="B99" s="9" t="s">
        <v>158</v>
      </c>
      <c r="C99" s="9" t="s">
        <v>1076</v>
      </c>
      <c r="D99" s="9" t="s">
        <v>3538</v>
      </c>
      <c r="E99" s="9" t="s">
        <v>3435</v>
      </c>
      <c r="F99" s="9" t="s">
        <v>1931</v>
      </c>
      <c r="G99" s="9" t="s">
        <v>3436</v>
      </c>
      <c r="H99" s="9" t="s">
        <v>193</v>
      </c>
      <c r="I99" s="9" t="s">
        <v>3537</v>
      </c>
      <c r="J99" s="9" t="s">
        <v>3412</v>
      </c>
      <c r="K99" s="9" t="s">
        <v>3413</v>
      </c>
      <c r="L99" s="9" t="s">
        <v>3414</v>
      </c>
    </row>
    <row r="100" customFormat="false" ht="68.25" hidden="false" customHeight="true" outlineLevel="0" collapsed="false">
      <c r="A100" s="9" t="s">
        <v>663</v>
      </c>
      <c r="B100" s="9" t="s">
        <v>1087</v>
      </c>
      <c r="C100" s="9" t="s">
        <v>481</v>
      </c>
      <c r="D100" s="9" t="s">
        <v>3539</v>
      </c>
      <c r="E100" s="9" t="s">
        <v>3409</v>
      </c>
      <c r="F100" s="9" t="s">
        <v>2066</v>
      </c>
      <c r="G100" s="9" t="s">
        <v>3436</v>
      </c>
      <c r="H100" s="9" t="s">
        <v>193</v>
      </c>
      <c r="I100" s="9" t="s">
        <v>3540</v>
      </c>
      <c r="J100" s="9" t="s">
        <v>3412</v>
      </c>
      <c r="K100" s="9" t="s">
        <v>3413</v>
      </c>
      <c r="L100" s="9" t="s">
        <v>3414</v>
      </c>
    </row>
    <row r="101" customFormat="false" ht="68.25" hidden="false" customHeight="true" outlineLevel="0" collapsed="false">
      <c r="A101" s="9" t="s">
        <v>663</v>
      </c>
      <c r="B101" s="9" t="s">
        <v>1087</v>
      </c>
      <c r="C101" s="9" t="s">
        <v>481</v>
      </c>
      <c r="D101" s="9" t="s">
        <v>387</v>
      </c>
      <c r="E101" s="9" t="s">
        <v>3416</v>
      </c>
      <c r="F101" s="9" t="s">
        <v>2163</v>
      </c>
      <c r="G101" s="9" t="s">
        <v>3436</v>
      </c>
      <c r="H101" s="9" t="s">
        <v>193</v>
      </c>
      <c r="I101" s="9" t="s">
        <v>3540</v>
      </c>
      <c r="J101" s="9" t="s">
        <v>3412</v>
      </c>
      <c r="K101" s="9" t="s">
        <v>3413</v>
      </c>
      <c r="L101" s="9" t="s">
        <v>3414</v>
      </c>
    </row>
    <row r="102" customFormat="false" ht="68.25" hidden="false" customHeight="true" outlineLevel="0" collapsed="false">
      <c r="A102" s="9" t="s">
        <v>663</v>
      </c>
      <c r="B102" s="9" t="s">
        <v>1087</v>
      </c>
      <c r="C102" s="9" t="s">
        <v>481</v>
      </c>
      <c r="D102" s="9" t="s">
        <v>3541</v>
      </c>
      <c r="E102" s="9" t="s">
        <v>3435</v>
      </c>
      <c r="F102" s="9" t="s">
        <v>1753</v>
      </c>
      <c r="G102" s="9" t="s">
        <v>3436</v>
      </c>
      <c r="H102" s="9" t="s">
        <v>193</v>
      </c>
      <c r="I102" s="9" t="s">
        <v>3540</v>
      </c>
      <c r="J102" s="9" t="s">
        <v>3412</v>
      </c>
      <c r="K102" s="9" t="s">
        <v>3413</v>
      </c>
      <c r="L102" s="9" t="s">
        <v>3414</v>
      </c>
    </row>
    <row r="103" customFormat="false" ht="41.25" hidden="false" customHeight="true" outlineLevel="0" collapsed="false">
      <c r="A103" s="9" t="s">
        <v>1106</v>
      </c>
      <c r="B103" s="9" t="s">
        <v>1124</v>
      </c>
      <c r="C103" s="9" t="s">
        <v>1110</v>
      </c>
      <c r="D103" s="9" t="s">
        <v>3542</v>
      </c>
      <c r="E103" s="9" t="s">
        <v>3435</v>
      </c>
      <c r="F103" s="9" t="s">
        <v>2753</v>
      </c>
      <c r="G103" s="9" t="s">
        <v>3436</v>
      </c>
      <c r="H103" s="9" t="s">
        <v>193</v>
      </c>
      <c r="I103" s="9" t="s">
        <v>3543</v>
      </c>
      <c r="J103" s="9" t="s">
        <v>3412</v>
      </c>
      <c r="K103" s="9" t="s">
        <v>3413</v>
      </c>
      <c r="L103" s="9" t="s">
        <v>3414</v>
      </c>
    </row>
    <row r="104" customFormat="false" ht="41.25" hidden="false" customHeight="true" outlineLevel="0" collapsed="false">
      <c r="A104" s="9" t="s">
        <v>1106</v>
      </c>
      <c r="B104" s="9" t="s">
        <v>1124</v>
      </c>
      <c r="C104" s="9" t="s">
        <v>1110</v>
      </c>
      <c r="D104" s="9" t="s">
        <v>3456</v>
      </c>
      <c r="E104" s="9" t="s">
        <v>3419</v>
      </c>
      <c r="F104" s="9" t="s">
        <v>2555</v>
      </c>
      <c r="G104" s="9" t="s">
        <v>3436</v>
      </c>
      <c r="H104" s="9" t="s">
        <v>193</v>
      </c>
      <c r="I104" s="9" t="s">
        <v>3543</v>
      </c>
      <c r="J104" s="9" t="s">
        <v>3412</v>
      </c>
      <c r="K104" s="9" t="s">
        <v>3413</v>
      </c>
      <c r="L104" s="9" t="s">
        <v>3414</v>
      </c>
    </row>
    <row r="105" customFormat="false" ht="41.25" hidden="false" customHeight="true" outlineLevel="0" collapsed="false">
      <c r="A105" s="9" t="s">
        <v>1106</v>
      </c>
      <c r="B105" s="9" t="s">
        <v>1124</v>
      </c>
      <c r="C105" s="9" t="s">
        <v>1110</v>
      </c>
      <c r="D105" s="9" t="s">
        <v>3544</v>
      </c>
      <c r="E105" s="9" t="s">
        <v>3416</v>
      </c>
      <c r="F105" s="9" t="s">
        <v>2163</v>
      </c>
      <c r="G105" s="9" t="s">
        <v>3436</v>
      </c>
      <c r="H105" s="9" t="s">
        <v>193</v>
      </c>
      <c r="I105" s="9" t="s">
        <v>3543</v>
      </c>
      <c r="J105" s="9" t="s">
        <v>3412</v>
      </c>
      <c r="K105" s="9" t="s">
        <v>3413</v>
      </c>
      <c r="L105" s="9" t="s">
        <v>3414</v>
      </c>
    </row>
    <row r="106" customFormat="false" ht="41.25" hidden="false" customHeight="true" outlineLevel="0" collapsed="false">
      <c r="A106" s="9" t="s">
        <v>1106</v>
      </c>
      <c r="B106" s="9" t="s">
        <v>745</v>
      </c>
      <c r="C106" s="9" t="s">
        <v>1158</v>
      </c>
      <c r="D106" s="9" t="s">
        <v>3544</v>
      </c>
      <c r="E106" s="9" t="s">
        <v>3416</v>
      </c>
      <c r="F106" s="9" t="s">
        <v>2781</v>
      </c>
      <c r="G106" s="9" t="s">
        <v>3436</v>
      </c>
      <c r="H106" s="9" t="s">
        <v>193</v>
      </c>
      <c r="I106" s="9" t="s">
        <v>3545</v>
      </c>
      <c r="J106" s="9" t="s">
        <v>3412</v>
      </c>
      <c r="K106" s="9" t="s">
        <v>3413</v>
      </c>
      <c r="L106" s="9" t="s">
        <v>3414</v>
      </c>
    </row>
    <row r="107" customFormat="false" ht="41.25" hidden="false" customHeight="true" outlineLevel="0" collapsed="false">
      <c r="A107" s="9" t="s">
        <v>1106</v>
      </c>
      <c r="B107" s="9" t="s">
        <v>745</v>
      </c>
      <c r="C107" s="9" t="s">
        <v>1158</v>
      </c>
      <c r="D107" s="9" t="s">
        <v>3546</v>
      </c>
      <c r="E107" s="9" t="s">
        <v>3435</v>
      </c>
      <c r="F107" s="9" t="s">
        <v>1931</v>
      </c>
      <c r="G107" s="9" t="s">
        <v>3436</v>
      </c>
      <c r="H107" s="9" t="s">
        <v>193</v>
      </c>
      <c r="I107" s="9" t="s">
        <v>3545</v>
      </c>
      <c r="J107" s="9" t="s">
        <v>3412</v>
      </c>
      <c r="K107" s="9" t="s">
        <v>3413</v>
      </c>
      <c r="L107" s="9" t="s">
        <v>3414</v>
      </c>
    </row>
    <row r="108" customFormat="false" ht="41.25" hidden="false" customHeight="true" outlineLevel="0" collapsed="false">
      <c r="A108" s="9" t="s">
        <v>1106</v>
      </c>
      <c r="B108" s="9" t="s">
        <v>745</v>
      </c>
      <c r="C108" s="9" t="s">
        <v>1158</v>
      </c>
      <c r="D108" s="9" t="s">
        <v>3547</v>
      </c>
      <c r="E108" s="9" t="s">
        <v>3435</v>
      </c>
      <c r="F108" s="9" t="s">
        <v>1931</v>
      </c>
      <c r="G108" s="9" t="s">
        <v>3436</v>
      </c>
      <c r="H108" s="9" t="s">
        <v>193</v>
      </c>
      <c r="I108" s="9" t="s">
        <v>3545</v>
      </c>
      <c r="J108" s="9" t="s">
        <v>3412</v>
      </c>
      <c r="K108" s="9" t="s">
        <v>3413</v>
      </c>
      <c r="L108" s="9" t="s">
        <v>3414</v>
      </c>
    </row>
    <row r="109" customFormat="false" ht="41.25" hidden="false" customHeight="true" outlineLevel="0" collapsed="false">
      <c r="A109" s="9" t="s">
        <v>1106</v>
      </c>
      <c r="B109" s="9" t="s">
        <v>745</v>
      </c>
      <c r="C109" s="9" t="s">
        <v>1158</v>
      </c>
      <c r="D109" s="9" t="s">
        <v>3548</v>
      </c>
      <c r="E109" s="9" t="s">
        <v>3416</v>
      </c>
      <c r="F109" s="9" t="s">
        <v>2163</v>
      </c>
      <c r="G109" s="9" t="s">
        <v>3436</v>
      </c>
      <c r="H109" s="9" t="s">
        <v>193</v>
      </c>
      <c r="I109" s="9" t="s">
        <v>3549</v>
      </c>
      <c r="J109" s="9" t="s">
        <v>3412</v>
      </c>
      <c r="K109" s="9" t="s">
        <v>3413</v>
      </c>
      <c r="L109" s="9" t="s">
        <v>3414</v>
      </c>
    </row>
    <row r="110" customFormat="false" ht="41.25" hidden="false" customHeight="true" outlineLevel="0" collapsed="false">
      <c r="A110" s="9" t="s">
        <v>1106</v>
      </c>
      <c r="B110" s="9" t="s">
        <v>745</v>
      </c>
      <c r="C110" s="9" t="s">
        <v>1158</v>
      </c>
      <c r="D110" s="9" t="s">
        <v>3550</v>
      </c>
      <c r="E110" s="9" t="s">
        <v>3435</v>
      </c>
      <c r="F110" s="9" t="s">
        <v>2817</v>
      </c>
      <c r="G110" s="9" t="s">
        <v>3436</v>
      </c>
      <c r="H110" s="9" t="s">
        <v>193</v>
      </c>
      <c r="I110" s="9" t="s">
        <v>3549</v>
      </c>
      <c r="J110" s="9" t="s">
        <v>3412</v>
      </c>
      <c r="K110" s="9" t="s">
        <v>3413</v>
      </c>
      <c r="L110" s="9" t="s">
        <v>3414</v>
      </c>
    </row>
    <row r="111" customFormat="false" ht="41.25" hidden="false" customHeight="true" outlineLevel="0" collapsed="false">
      <c r="A111" s="9" t="s">
        <v>1106</v>
      </c>
      <c r="B111" s="9" t="s">
        <v>745</v>
      </c>
      <c r="C111" s="9" t="s">
        <v>1158</v>
      </c>
      <c r="D111" s="9" t="s">
        <v>3551</v>
      </c>
      <c r="E111" s="9" t="s">
        <v>3416</v>
      </c>
      <c r="F111" s="9" t="s">
        <v>2163</v>
      </c>
      <c r="G111" s="9" t="s">
        <v>3436</v>
      </c>
      <c r="H111" s="9" t="s">
        <v>193</v>
      </c>
      <c r="I111" s="9" t="s">
        <v>3549</v>
      </c>
      <c r="J111" s="9" t="s">
        <v>3412</v>
      </c>
      <c r="K111" s="9" t="s">
        <v>3413</v>
      </c>
      <c r="L111" s="9" t="s">
        <v>3414</v>
      </c>
    </row>
    <row r="112" customFormat="false" ht="41.25" hidden="false" customHeight="true" outlineLevel="0" collapsed="false">
      <c r="A112" s="9" t="s">
        <v>1106</v>
      </c>
      <c r="B112" s="9" t="s">
        <v>1209</v>
      </c>
      <c r="C112" s="9" t="s">
        <v>1212</v>
      </c>
      <c r="D112" s="9" t="s">
        <v>3552</v>
      </c>
      <c r="E112" s="9" t="s">
        <v>3425</v>
      </c>
      <c r="F112" s="9" t="s">
        <v>1931</v>
      </c>
      <c r="G112" s="9" t="s">
        <v>3436</v>
      </c>
      <c r="H112" s="9" t="s">
        <v>193</v>
      </c>
      <c r="I112" s="9" t="s">
        <v>3553</v>
      </c>
      <c r="J112" s="9" t="s">
        <v>3412</v>
      </c>
      <c r="K112" s="9" t="s">
        <v>3413</v>
      </c>
      <c r="L112" s="9" t="s">
        <v>3414</v>
      </c>
    </row>
    <row r="113" customFormat="false" ht="41.25" hidden="false" customHeight="true" outlineLevel="0" collapsed="false">
      <c r="A113" s="9" t="s">
        <v>1106</v>
      </c>
      <c r="B113" s="9" t="s">
        <v>1209</v>
      </c>
      <c r="C113" s="9" t="s">
        <v>1212</v>
      </c>
      <c r="D113" s="9" t="s">
        <v>3554</v>
      </c>
      <c r="E113" s="9" t="s">
        <v>3425</v>
      </c>
      <c r="F113" s="9" t="s">
        <v>2849</v>
      </c>
      <c r="G113" s="9" t="s">
        <v>3436</v>
      </c>
      <c r="H113" s="9" t="s">
        <v>193</v>
      </c>
      <c r="I113" s="9" t="s">
        <v>3553</v>
      </c>
      <c r="J113" s="9" t="s">
        <v>3412</v>
      </c>
      <c r="K113" s="9" t="s">
        <v>3413</v>
      </c>
      <c r="L113" s="9" t="s">
        <v>3414</v>
      </c>
    </row>
    <row r="114" customFormat="false" ht="41.25" hidden="false" customHeight="true" outlineLevel="0" collapsed="false">
      <c r="A114" s="9" t="s">
        <v>1106</v>
      </c>
      <c r="B114" s="9" t="s">
        <v>1209</v>
      </c>
      <c r="C114" s="9" t="s">
        <v>1212</v>
      </c>
      <c r="D114" s="9" t="s">
        <v>3510</v>
      </c>
      <c r="E114" s="9" t="s">
        <v>3419</v>
      </c>
      <c r="F114" s="9" t="s">
        <v>2129</v>
      </c>
      <c r="G114" s="9" t="s">
        <v>3436</v>
      </c>
      <c r="H114" s="9" t="s">
        <v>193</v>
      </c>
      <c r="I114" s="9" t="s">
        <v>3553</v>
      </c>
      <c r="J114" s="9" t="s">
        <v>3412</v>
      </c>
      <c r="K114" s="9" t="s">
        <v>3413</v>
      </c>
      <c r="L114" s="9" t="s">
        <v>3414</v>
      </c>
    </row>
    <row r="115" customFormat="false" ht="41.25" hidden="false" customHeight="true" outlineLevel="0" collapsed="false">
      <c r="A115" s="9" t="s">
        <v>1106</v>
      </c>
      <c r="B115" s="9" t="s">
        <v>1124</v>
      </c>
      <c r="C115" s="9" t="s">
        <v>1110</v>
      </c>
      <c r="D115" s="9" t="s">
        <v>3555</v>
      </c>
      <c r="E115" s="9" t="s">
        <v>3435</v>
      </c>
      <c r="F115" s="9" t="s">
        <v>2817</v>
      </c>
      <c r="G115" s="9" t="s">
        <v>3436</v>
      </c>
      <c r="H115" s="9" t="s">
        <v>193</v>
      </c>
      <c r="I115" s="9" t="s">
        <v>3556</v>
      </c>
      <c r="J115" s="9" t="s">
        <v>3412</v>
      </c>
      <c r="K115" s="9" t="s">
        <v>3413</v>
      </c>
      <c r="L115" s="9" t="s">
        <v>3414</v>
      </c>
    </row>
    <row r="116" customFormat="false" ht="41.25" hidden="false" customHeight="true" outlineLevel="0" collapsed="false">
      <c r="A116" s="9" t="s">
        <v>1106</v>
      </c>
      <c r="B116" s="9" t="s">
        <v>1124</v>
      </c>
      <c r="C116" s="9" t="s">
        <v>1110</v>
      </c>
      <c r="D116" s="9" t="s">
        <v>3557</v>
      </c>
      <c r="E116" s="9" t="s">
        <v>3435</v>
      </c>
      <c r="F116" s="9" t="s">
        <v>1931</v>
      </c>
      <c r="G116" s="9" t="s">
        <v>3436</v>
      </c>
      <c r="H116" s="9" t="s">
        <v>193</v>
      </c>
      <c r="I116" s="9" t="s">
        <v>3556</v>
      </c>
      <c r="J116" s="9" t="s">
        <v>3412</v>
      </c>
      <c r="K116" s="9" t="s">
        <v>3413</v>
      </c>
      <c r="L116" s="9" t="s">
        <v>3414</v>
      </c>
    </row>
    <row r="117" customFormat="false" ht="41.25" hidden="false" customHeight="true" outlineLevel="0" collapsed="false">
      <c r="A117" s="9" t="s">
        <v>1106</v>
      </c>
      <c r="B117" s="9" t="s">
        <v>3462</v>
      </c>
      <c r="C117" s="9" t="s">
        <v>481</v>
      </c>
      <c r="D117" s="9" t="s">
        <v>3558</v>
      </c>
      <c r="E117" s="9" t="s">
        <v>3425</v>
      </c>
      <c r="F117" s="9" t="s">
        <v>2781</v>
      </c>
      <c r="G117" s="9" t="s">
        <v>3436</v>
      </c>
      <c r="H117" s="9" t="s">
        <v>193</v>
      </c>
      <c r="I117" s="9" t="s">
        <v>3559</v>
      </c>
      <c r="J117" s="9" t="s">
        <v>3412</v>
      </c>
      <c r="K117" s="9" t="s">
        <v>3413</v>
      </c>
      <c r="L117" s="9" t="s">
        <v>3414</v>
      </c>
    </row>
    <row r="118" customFormat="false" ht="41.25" hidden="false" customHeight="true" outlineLevel="0" collapsed="false">
      <c r="A118" s="9" t="s">
        <v>1106</v>
      </c>
      <c r="B118" s="9" t="s">
        <v>3462</v>
      </c>
      <c r="C118" s="9" t="s">
        <v>481</v>
      </c>
      <c r="D118" s="9" t="s">
        <v>3560</v>
      </c>
      <c r="E118" s="9" t="s">
        <v>3435</v>
      </c>
      <c r="F118" s="9" t="s">
        <v>1931</v>
      </c>
      <c r="G118" s="9" t="s">
        <v>3436</v>
      </c>
      <c r="H118" s="9" t="s">
        <v>193</v>
      </c>
      <c r="I118" s="9" t="s">
        <v>3559</v>
      </c>
      <c r="J118" s="9" t="s">
        <v>3412</v>
      </c>
      <c r="K118" s="9" t="s">
        <v>3413</v>
      </c>
      <c r="L118" s="9" t="s">
        <v>3414</v>
      </c>
    </row>
    <row r="119" customFormat="false" ht="41.25" hidden="false" customHeight="true" outlineLevel="0" collapsed="false">
      <c r="A119" s="9" t="s">
        <v>1106</v>
      </c>
      <c r="B119" s="9" t="s">
        <v>3462</v>
      </c>
      <c r="C119" s="9" t="s">
        <v>481</v>
      </c>
      <c r="D119" s="9" t="s">
        <v>225</v>
      </c>
      <c r="E119" s="9" t="s">
        <v>3435</v>
      </c>
      <c r="F119" s="9" t="s">
        <v>1931</v>
      </c>
      <c r="G119" s="9" t="s">
        <v>3436</v>
      </c>
      <c r="H119" s="9" t="s">
        <v>193</v>
      </c>
      <c r="I119" s="9" t="s">
        <v>3559</v>
      </c>
      <c r="J119" s="9" t="s">
        <v>3412</v>
      </c>
      <c r="K119" s="9" t="s">
        <v>3413</v>
      </c>
      <c r="L119" s="9" t="s">
        <v>3414</v>
      </c>
    </row>
    <row r="120" customFormat="false" ht="41.25" hidden="false" customHeight="true" outlineLevel="0" collapsed="false">
      <c r="A120" s="9" t="s">
        <v>1106</v>
      </c>
      <c r="B120" s="9" t="s">
        <v>3462</v>
      </c>
      <c r="C120" s="9" t="s">
        <v>481</v>
      </c>
      <c r="D120" s="9" t="s">
        <v>603</v>
      </c>
      <c r="E120" s="9" t="s">
        <v>3409</v>
      </c>
      <c r="F120" s="9" t="s">
        <v>2066</v>
      </c>
      <c r="G120" s="9" t="s">
        <v>3436</v>
      </c>
      <c r="H120" s="9" t="s">
        <v>193</v>
      </c>
      <c r="I120" s="9" t="s">
        <v>3561</v>
      </c>
      <c r="J120" s="9" t="s">
        <v>3412</v>
      </c>
      <c r="K120" s="9" t="s">
        <v>3413</v>
      </c>
      <c r="L120" s="9" t="s">
        <v>3414</v>
      </c>
    </row>
    <row r="121" customFormat="false" ht="41.25" hidden="false" customHeight="true" outlineLevel="0" collapsed="false">
      <c r="A121" s="9" t="s">
        <v>1106</v>
      </c>
      <c r="B121" s="9" t="s">
        <v>3462</v>
      </c>
      <c r="C121" s="9" t="s">
        <v>481</v>
      </c>
      <c r="D121" s="9" t="s">
        <v>3562</v>
      </c>
      <c r="E121" s="9" t="s">
        <v>3435</v>
      </c>
      <c r="F121" s="9" t="s">
        <v>1931</v>
      </c>
      <c r="G121" s="9" t="s">
        <v>3436</v>
      </c>
      <c r="H121" s="9" t="s">
        <v>193</v>
      </c>
      <c r="I121" s="9" t="s">
        <v>3561</v>
      </c>
      <c r="J121" s="9" t="s">
        <v>3412</v>
      </c>
      <c r="K121" s="9" t="s">
        <v>3413</v>
      </c>
      <c r="L121" s="9" t="s">
        <v>3414</v>
      </c>
    </row>
    <row r="122" customFormat="false" ht="41.25" hidden="false" customHeight="true" outlineLevel="0" collapsed="false">
      <c r="A122" s="9" t="s">
        <v>1106</v>
      </c>
      <c r="B122" s="9" t="s">
        <v>3462</v>
      </c>
      <c r="C122" s="9" t="s">
        <v>481</v>
      </c>
      <c r="D122" s="9" t="s">
        <v>3506</v>
      </c>
      <c r="E122" s="9" t="s">
        <v>3435</v>
      </c>
      <c r="F122" s="9" t="s">
        <v>1931</v>
      </c>
      <c r="G122" s="9" t="s">
        <v>3436</v>
      </c>
      <c r="H122" s="9" t="s">
        <v>193</v>
      </c>
      <c r="I122" s="9" t="s">
        <v>3561</v>
      </c>
      <c r="J122" s="9" t="s">
        <v>3412</v>
      </c>
      <c r="K122" s="9" t="s">
        <v>3413</v>
      </c>
      <c r="L122" s="9" t="s">
        <v>3414</v>
      </c>
    </row>
    <row r="123" customFormat="false" ht="41.25" hidden="false" customHeight="true" outlineLevel="0" collapsed="false">
      <c r="A123" s="9" t="s">
        <v>1106</v>
      </c>
      <c r="B123" s="9" t="s">
        <v>1317</v>
      </c>
      <c r="C123" s="9" t="s">
        <v>1320</v>
      </c>
      <c r="D123" s="9" t="s">
        <v>3552</v>
      </c>
      <c r="E123" s="9" t="s">
        <v>3425</v>
      </c>
      <c r="F123" s="9" t="s">
        <v>1931</v>
      </c>
      <c r="G123" s="9" t="s">
        <v>3436</v>
      </c>
      <c r="H123" s="9" t="s">
        <v>193</v>
      </c>
      <c r="I123" s="9" t="s">
        <v>3563</v>
      </c>
      <c r="J123" s="9" t="s">
        <v>3412</v>
      </c>
      <c r="K123" s="9" t="s">
        <v>3413</v>
      </c>
      <c r="L123" s="9" t="s">
        <v>3414</v>
      </c>
    </row>
    <row r="124" customFormat="false" ht="41.25" hidden="false" customHeight="true" outlineLevel="0" collapsed="false">
      <c r="A124" s="9" t="s">
        <v>1106</v>
      </c>
      <c r="B124" s="9" t="s">
        <v>1317</v>
      </c>
      <c r="C124" s="9" t="s">
        <v>1320</v>
      </c>
      <c r="D124" s="9" t="s">
        <v>3564</v>
      </c>
      <c r="E124" s="9" t="s">
        <v>3425</v>
      </c>
      <c r="F124" s="9" t="s">
        <v>2849</v>
      </c>
      <c r="G124" s="9" t="s">
        <v>3436</v>
      </c>
      <c r="H124" s="9" t="s">
        <v>193</v>
      </c>
      <c r="I124" s="9" t="s">
        <v>3563</v>
      </c>
      <c r="J124" s="9" t="s">
        <v>3412</v>
      </c>
      <c r="K124" s="9" t="s">
        <v>3413</v>
      </c>
      <c r="L124" s="9" t="s">
        <v>3414</v>
      </c>
    </row>
    <row r="125" customFormat="false" ht="41.25" hidden="false" customHeight="true" outlineLevel="0" collapsed="false">
      <c r="A125" s="9" t="s">
        <v>1106</v>
      </c>
      <c r="B125" s="9" t="s">
        <v>1317</v>
      </c>
      <c r="C125" s="9" t="s">
        <v>1320</v>
      </c>
      <c r="D125" s="9" t="s">
        <v>3488</v>
      </c>
      <c r="E125" s="9" t="s">
        <v>3425</v>
      </c>
      <c r="F125" s="9" t="s">
        <v>2849</v>
      </c>
      <c r="G125" s="9" t="s">
        <v>3436</v>
      </c>
      <c r="H125" s="9" t="s">
        <v>193</v>
      </c>
      <c r="I125" s="9" t="s">
        <v>3563</v>
      </c>
      <c r="J125" s="9" t="s">
        <v>3412</v>
      </c>
      <c r="K125" s="9" t="s">
        <v>3413</v>
      </c>
      <c r="L125" s="9" t="s">
        <v>3414</v>
      </c>
    </row>
    <row r="126" customFormat="false" ht="41.25" hidden="false" customHeight="true" outlineLevel="0" collapsed="false">
      <c r="A126" s="9" t="s">
        <v>1106</v>
      </c>
      <c r="B126" s="9" t="s">
        <v>1346</v>
      </c>
      <c r="C126" s="9" t="s">
        <v>1349</v>
      </c>
      <c r="D126" s="9" t="s">
        <v>3565</v>
      </c>
      <c r="E126" s="9" t="s">
        <v>3435</v>
      </c>
      <c r="F126" s="9" t="s">
        <v>1931</v>
      </c>
      <c r="G126" s="9" t="s">
        <v>3436</v>
      </c>
      <c r="H126" s="9" t="s">
        <v>193</v>
      </c>
      <c r="I126" s="9" t="s">
        <v>3566</v>
      </c>
      <c r="J126" s="9" t="s">
        <v>3412</v>
      </c>
      <c r="K126" s="9" t="s">
        <v>3413</v>
      </c>
      <c r="L126" s="9" t="s">
        <v>3414</v>
      </c>
    </row>
    <row r="127" customFormat="false" ht="41.25" hidden="false" customHeight="true" outlineLevel="0" collapsed="false">
      <c r="A127" s="9" t="s">
        <v>1106</v>
      </c>
      <c r="B127" s="9" t="s">
        <v>1346</v>
      </c>
      <c r="C127" s="9" t="s">
        <v>1349</v>
      </c>
      <c r="D127" s="9" t="s">
        <v>3567</v>
      </c>
      <c r="E127" s="9" t="s">
        <v>3435</v>
      </c>
      <c r="F127" s="9" t="s">
        <v>1931</v>
      </c>
      <c r="G127" s="9" t="s">
        <v>3436</v>
      </c>
      <c r="H127" s="9" t="s">
        <v>193</v>
      </c>
      <c r="I127" s="9" t="s">
        <v>3566</v>
      </c>
      <c r="J127" s="9" t="s">
        <v>3412</v>
      </c>
      <c r="K127" s="9" t="s">
        <v>3413</v>
      </c>
      <c r="L127" s="9" t="s">
        <v>3414</v>
      </c>
    </row>
    <row r="128" customFormat="false" ht="41.25" hidden="false" customHeight="true" outlineLevel="0" collapsed="false">
      <c r="A128" s="9" t="s">
        <v>1106</v>
      </c>
      <c r="B128" s="9" t="s">
        <v>1346</v>
      </c>
      <c r="C128" s="9" t="s">
        <v>1349</v>
      </c>
      <c r="D128" s="9" t="s">
        <v>387</v>
      </c>
      <c r="E128" s="9" t="s">
        <v>3416</v>
      </c>
      <c r="F128" s="9" t="s">
        <v>2163</v>
      </c>
      <c r="G128" s="9" t="s">
        <v>3436</v>
      </c>
      <c r="H128" s="9" t="s">
        <v>193</v>
      </c>
      <c r="I128" s="9" t="s">
        <v>3566</v>
      </c>
      <c r="J128" s="9" t="s">
        <v>3412</v>
      </c>
      <c r="K128" s="9" t="s">
        <v>3413</v>
      </c>
      <c r="L128" s="9" t="s">
        <v>3414</v>
      </c>
    </row>
    <row r="129" customFormat="false" ht="41.25" hidden="false" customHeight="true" outlineLevel="0" collapsed="false">
      <c r="A129" s="9" t="s">
        <v>1106</v>
      </c>
      <c r="B129" s="9" t="s">
        <v>3462</v>
      </c>
      <c r="C129" s="9" t="s">
        <v>481</v>
      </c>
      <c r="D129" s="9" t="s">
        <v>3568</v>
      </c>
      <c r="E129" s="9" t="s">
        <v>3435</v>
      </c>
      <c r="F129" s="9" t="s">
        <v>1753</v>
      </c>
      <c r="G129" s="9" t="s">
        <v>3436</v>
      </c>
      <c r="H129" s="9" t="s">
        <v>193</v>
      </c>
      <c r="I129" s="9" t="s">
        <v>3569</v>
      </c>
      <c r="J129" s="9" t="s">
        <v>3412</v>
      </c>
      <c r="K129" s="9" t="s">
        <v>3413</v>
      </c>
      <c r="L129" s="9" t="s">
        <v>3414</v>
      </c>
    </row>
    <row r="130" customFormat="false" ht="41.25" hidden="false" customHeight="true" outlineLevel="0" collapsed="false">
      <c r="A130" s="9" t="s">
        <v>1106</v>
      </c>
      <c r="B130" s="9" t="s">
        <v>3462</v>
      </c>
      <c r="C130" s="9" t="s">
        <v>481</v>
      </c>
      <c r="D130" s="9" t="s">
        <v>3510</v>
      </c>
      <c r="E130" s="9" t="s">
        <v>3419</v>
      </c>
      <c r="F130" s="9" t="s">
        <v>2129</v>
      </c>
      <c r="G130" s="9" t="s">
        <v>3436</v>
      </c>
      <c r="H130" s="9" t="s">
        <v>193</v>
      </c>
      <c r="I130" s="9" t="s">
        <v>3569</v>
      </c>
      <c r="J130" s="9" t="s">
        <v>3412</v>
      </c>
      <c r="K130" s="9" t="s">
        <v>3413</v>
      </c>
      <c r="L130" s="9" t="s">
        <v>3414</v>
      </c>
    </row>
    <row r="131" customFormat="false" ht="41.25" hidden="false" customHeight="true" outlineLevel="0" collapsed="false">
      <c r="A131" s="9" t="s">
        <v>1106</v>
      </c>
      <c r="B131" s="9" t="s">
        <v>1388</v>
      </c>
      <c r="C131" s="9" t="s">
        <v>1398</v>
      </c>
      <c r="D131" s="9" t="s">
        <v>3570</v>
      </c>
      <c r="E131" s="9" t="s">
        <v>3425</v>
      </c>
      <c r="F131" s="9" t="s">
        <v>2849</v>
      </c>
      <c r="G131" s="9" t="s">
        <v>3436</v>
      </c>
      <c r="H131" s="9" t="s">
        <v>193</v>
      </c>
      <c r="I131" s="9" t="s">
        <v>3571</v>
      </c>
      <c r="J131" s="9" t="s">
        <v>3412</v>
      </c>
      <c r="K131" s="9" t="s">
        <v>3413</v>
      </c>
      <c r="L131" s="9" t="s">
        <v>3414</v>
      </c>
    </row>
    <row r="132" customFormat="false" ht="41.25" hidden="false" customHeight="true" outlineLevel="0" collapsed="false">
      <c r="A132" s="9" t="s">
        <v>1106</v>
      </c>
      <c r="B132" s="9" t="s">
        <v>1388</v>
      </c>
      <c r="C132" s="9" t="s">
        <v>1398</v>
      </c>
      <c r="D132" s="9" t="s">
        <v>3572</v>
      </c>
      <c r="E132" s="9" t="s">
        <v>3425</v>
      </c>
      <c r="F132" s="9" t="s">
        <v>2849</v>
      </c>
      <c r="G132" s="9" t="s">
        <v>3436</v>
      </c>
      <c r="H132" s="9" t="s">
        <v>193</v>
      </c>
      <c r="I132" s="9" t="s">
        <v>3571</v>
      </c>
      <c r="J132" s="9" t="s">
        <v>3412</v>
      </c>
      <c r="K132" s="9" t="s">
        <v>3413</v>
      </c>
      <c r="L132" s="9" t="s">
        <v>3414</v>
      </c>
    </row>
    <row r="133" customFormat="false" ht="41.25" hidden="false" customHeight="true" outlineLevel="0" collapsed="false">
      <c r="A133" s="9" t="s">
        <v>1106</v>
      </c>
      <c r="B133" s="9" t="s">
        <v>1388</v>
      </c>
      <c r="C133" s="9" t="s">
        <v>1398</v>
      </c>
      <c r="D133" s="9" t="s">
        <v>3573</v>
      </c>
      <c r="E133" s="9" t="s">
        <v>3435</v>
      </c>
      <c r="F133" s="9" t="s">
        <v>1931</v>
      </c>
      <c r="G133" s="9" t="s">
        <v>3436</v>
      </c>
      <c r="H133" s="9" t="s">
        <v>193</v>
      </c>
      <c r="I133" s="9" t="s">
        <v>3571</v>
      </c>
      <c r="J133" s="9" t="s">
        <v>3412</v>
      </c>
      <c r="K133" s="9" t="s">
        <v>3413</v>
      </c>
      <c r="L133" s="9" t="s">
        <v>3414</v>
      </c>
    </row>
    <row r="134" customFormat="false" ht="41.25" hidden="false" customHeight="true" outlineLevel="0" collapsed="false">
      <c r="A134" s="9" t="s">
        <v>1106</v>
      </c>
      <c r="B134" s="9" t="s">
        <v>1408</v>
      </c>
      <c r="C134" s="9" t="s">
        <v>1419</v>
      </c>
      <c r="D134" s="9" t="s">
        <v>603</v>
      </c>
      <c r="E134" s="9" t="s">
        <v>3409</v>
      </c>
      <c r="F134" s="9" t="s">
        <v>2066</v>
      </c>
      <c r="G134" s="9" t="s">
        <v>3436</v>
      </c>
      <c r="H134" s="9" t="s">
        <v>193</v>
      </c>
      <c r="I134" s="9" t="s">
        <v>3574</v>
      </c>
      <c r="J134" s="9" t="s">
        <v>3412</v>
      </c>
      <c r="K134" s="9" t="s">
        <v>3413</v>
      </c>
      <c r="L134" s="9" t="s">
        <v>3414</v>
      </c>
    </row>
    <row r="135" customFormat="false" ht="41.25" hidden="false" customHeight="true" outlineLevel="0" collapsed="false">
      <c r="A135" s="9" t="s">
        <v>1106</v>
      </c>
      <c r="B135" s="9" t="s">
        <v>1408</v>
      </c>
      <c r="C135" s="9" t="s">
        <v>1419</v>
      </c>
      <c r="D135" s="9" t="s">
        <v>387</v>
      </c>
      <c r="E135" s="9" t="s">
        <v>3416</v>
      </c>
      <c r="F135" s="9" t="s">
        <v>2163</v>
      </c>
      <c r="G135" s="9" t="s">
        <v>3436</v>
      </c>
      <c r="H135" s="9" t="s">
        <v>193</v>
      </c>
      <c r="I135" s="9" t="s">
        <v>3574</v>
      </c>
      <c r="J135" s="9" t="s">
        <v>3412</v>
      </c>
      <c r="K135" s="9" t="s">
        <v>3413</v>
      </c>
      <c r="L135" s="9" t="s">
        <v>3414</v>
      </c>
    </row>
    <row r="136" customFormat="false" ht="41.25" hidden="false" customHeight="true" outlineLevel="0" collapsed="false">
      <c r="A136" s="9" t="s">
        <v>1106</v>
      </c>
      <c r="B136" s="9" t="s">
        <v>1408</v>
      </c>
      <c r="C136" s="9" t="s">
        <v>1419</v>
      </c>
      <c r="D136" s="9" t="s">
        <v>3550</v>
      </c>
      <c r="E136" s="9" t="s">
        <v>3435</v>
      </c>
      <c r="F136" s="9" t="s">
        <v>2817</v>
      </c>
      <c r="G136" s="9" t="s">
        <v>3436</v>
      </c>
      <c r="H136" s="9" t="s">
        <v>193</v>
      </c>
      <c r="I136" s="9" t="s">
        <v>3574</v>
      </c>
      <c r="J136" s="9" t="s">
        <v>3412</v>
      </c>
      <c r="K136" s="9" t="s">
        <v>3413</v>
      </c>
      <c r="L136" s="9" t="s">
        <v>3414</v>
      </c>
    </row>
    <row r="137" customFormat="false" ht="41.25" hidden="false" customHeight="true" outlineLevel="0" collapsed="false">
      <c r="A137" s="9" t="s">
        <v>1106</v>
      </c>
      <c r="B137" s="9" t="s">
        <v>1408</v>
      </c>
      <c r="C137" s="9" t="s">
        <v>1440</v>
      </c>
      <c r="D137" s="9" t="s">
        <v>3575</v>
      </c>
      <c r="E137" s="9" t="s">
        <v>3435</v>
      </c>
      <c r="F137" s="9" t="s">
        <v>1931</v>
      </c>
      <c r="G137" s="9" t="s">
        <v>3436</v>
      </c>
      <c r="H137" s="9" t="s">
        <v>193</v>
      </c>
      <c r="I137" s="9" t="s">
        <v>3576</v>
      </c>
      <c r="J137" s="9" t="s">
        <v>3412</v>
      </c>
      <c r="K137" s="9" t="s">
        <v>3413</v>
      </c>
      <c r="L137" s="9" t="s">
        <v>3414</v>
      </c>
    </row>
    <row r="138" customFormat="false" ht="41.25" hidden="false" customHeight="true" outlineLevel="0" collapsed="false">
      <c r="A138" s="9" t="s">
        <v>1106</v>
      </c>
      <c r="B138" s="9" t="s">
        <v>1408</v>
      </c>
      <c r="C138" s="9" t="s">
        <v>1440</v>
      </c>
      <c r="D138" s="9" t="s">
        <v>3086</v>
      </c>
      <c r="E138" s="9" t="s">
        <v>3416</v>
      </c>
      <c r="F138" s="9" t="s">
        <v>2163</v>
      </c>
      <c r="G138" s="9" t="s">
        <v>3436</v>
      </c>
      <c r="H138" s="9" t="s">
        <v>193</v>
      </c>
      <c r="I138" s="9" t="s">
        <v>3576</v>
      </c>
      <c r="J138" s="9" t="s">
        <v>3412</v>
      </c>
      <c r="K138" s="9" t="s">
        <v>3413</v>
      </c>
      <c r="L138" s="9" t="s">
        <v>3414</v>
      </c>
    </row>
    <row r="139" customFormat="false" ht="41.25" hidden="false" customHeight="true" outlineLevel="0" collapsed="false">
      <c r="A139" s="9" t="s">
        <v>1106</v>
      </c>
      <c r="B139" s="9" t="s">
        <v>1408</v>
      </c>
      <c r="C139" s="9" t="s">
        <v>1440</v>
      </c>
      <c r="D139" s="9" t="s">
        <v>3577</v>
      </c>
      <c r="E139" s="9" t="s">
        <v>3477</v>
      </c>
      <c r="F139" s="9" t="s">
        <v>1931</v>
      </c>
      <c r="G139" s="9" t="s">
        <v>3436</v>
      </c>
      <c r="H139" s="9" t="s">
        <v>193</v>
      </c>
      <c r="I139" s="9" t="s">
        <v>3576</v>
      </c>
      <c r="J139" s="9" t="s">
        <v>3412</v>
      </c>
      <c r="K139" s="9" t="s">
        <v>3413</v>
      </c>
      <c r="L139" s="9" t="s">
        <v>3414</v>
      </c>
    </row>
    <row r="140" customFormat="false" ht="41.25" hidden="false" customHeight="true" outlineLevel="0" collapsed="false">
      <c r="A140" s="9" t="s">
        <v>1106</v>
      </c>
      <c r="B140" s="9" t="s">
        <v>1452</v>
      </c>
      <c r="C140" s="9" t="s">
        <v>1462</v>
      </c>
      <c r="D140" s="9" t="s">
        <v>3578</v>
      </c>
      <c r="E140" s="9" t="s">
        <v>3416</v>
      </c>
      <c r="F140" s="9" t="s">
        <v>2163</v>
      </c>
      <c r="G140" s="9" t="s">
        <v>3436</v>
      </c>
      <c r="H140" s="9" t="s">
        <v>193</v>
      </c>
      <c r="I140" s="9" t="s">
        <v>3579</v>
      </c>
      <c r="J140" s="9" t="s">
        <v>3412</v>
      </c>
      <c r="K140" s="9" t="s">
        <v>3413</v>
      </c>
      <c r="L140" s="9" t="s">
        <v>3414</v>
      </c>
    </row>
    <row r="141" customFormat="false" ht="41.25" hidden="false" customHeight="true" outlineLevel="0" collapsed="false">
      <c r="A141" s="9" t="s">
        <v>1106</v>
      </c>
      <c r="B141" s="9" t="s">
        <v>1452</v>
      </c>
      <c r="C141" s="9" t="s">
        <v>1462</v>
      </c>
      <c r="D141" s="9" t="s">
        <v>3547</v>
      </c>
      <c r="E141" s="9" t="s">
        <v>3435</v>
      </c>
      <c r="F141" s="9" t="s">
        <v>1931</v>
      </c>
      <c r="G141" s="9" t="s">
        <v>3436</v>
      </c>
      <c r="H141" s="9" t="s">
        <v>193</v>
      </c>
      <c r="I141" s="9" t="s">
        <v>3579</v>
      </c>
      <c r="J141" s="9" t="s">
        <v>3412</v>
      </c>
      <c r="K141" s="9" t="s">
        <v>3413</v>
      </c>
      <c r="L141" s="9" t="s">
        <v>3414</v>
      </c>
    </row>
    <row r="142" customFormat="false" ht="41.25" hidden="false" customHeight="true" outlineLevel="0" collapsed="false">
      <c r="A142" s="9" t="s">
        <v>1106</v>
      </c>
      <c r="B142" s="9" t="s">
        <v>1452</v>
      </c>
      <c r="C142" s="9" t="s">
        <v>1462</v>
      </c>
      <c r="D142" s="9" t="s">
        <v>3488</v>
      </c>
      <c r="E142" s="9" t="s">
        <v>3425</v>
      </c>
      <c r="F142" s="9" t="s">
        <v>2849</v>
      </c>
      <c r="G142" s="9" t="s">
        <v>3436</v>
      </c>
      <c r="H142" s="9" t="s">
        <v>193</v>
      </c>
      <c r="I142" s="9" t="s">
        <v>3579</v>
      </c>
      <c r="J142" s="9" t="s">
        <v>3412</v>
      </c>
      <c r="K142" s="9" t="s">
        <v>3413</v>
      </c>
      <c r="L142" s="9" t="s">
        <v>3414</v>
      </c>
    </row>
    <row r="143" customFormat="false" ht="41.25" hidden="false" customHeight="true" outlineLevel="0" collapsed="false">
      <c r="A143" s="9" t="s">
        <v>1106</v>
      </c>
      <c r="B143" s="9" t="s">
        <v>1317</v>
      </c>
      <c r="C143" s="9" t="s">
        <v>1480</v>
      </c>
      <c r="D143" s="9" t="s">
        <v>3580</v>
      </c>
      <c r="E143" s="9" t="s">
        <v>3471</v>
      </c>
      <c r="F143" s="9" t="s">
        <v>2347</v>
      </c>
      <c r="G143" s="9" t="s">
        <v>3436</v>
      </c>
      <c r="H143" s="9" t="s">
        <v>193</v>
      </c>
      <c r="I143" s="9" t="s">
        <v>3581</v>
      </c>
      <c r="J143" s="9" t="s">
        <v>3412</v>
      </c>
      <c r="K143" s="9" t="s">
        <v>3413</v>
      </c>
      <c r="L143" s="9" t="s">
        <v>3414</v>
      </c>
    </row>
    <row r="144" customFormat="false" ht="41.25" hidden="false" customHeight="true" outlineLevel="0" collapsed="false">
      <c r="A144" s="9" t="s">
        <v>1106</v>
      </c>
      <c r="B144" s="9" t="s">
        <v>1317</v>
      </c>
      <c r="C144" s="9" t="s">
        <v>1480</v>
      </c>
      <c r="D144" s="9" t="s">
        <v>3582</v>
      </c>
      <c r="E144" s="9" t="s">
        <v>3494</v>
      </c>
      <c r="F144" s="9" t="s">
        <v>3122</v>
      </c>
      <c r="G144" s="9" t="s">
        <v>3436</v>
      </c>
      <c r="H144" s="9" t="s">
        <v>193</v>
      </c>
      <c r="I144" s="9" t="s">
        <v>3581</v>
      </c>
      <c r="J144" s="9" t="s">
        <v>3412</v>
      </c>
      <c r="K144" s="9" t="s">
        <v>3413</v>
      </c>
      <c r="L144" s="9" t="s">
        <v>3414</v>
      </c>
    </row>
    <row r="145" customFormat="false" ht="41.25" hidden="false" customHeight="true" outlineLevel="0" collapsed="false">
      <c r="A145" s="9" t="s">
        <v>1106</v>
      </c>
      <c r="B145" s="9" t="s">
        <v>1317</v>
      </c>
      <c r="C145" s="9" t="s">
        <v>1480</v>
      </c>
      <c r="D145" s="9" t="s">
        <v>3583</v>
      </c>
      <c r="E145" s="9" t="s">
        <v>3435</v>
      </c>
      <c r="F145" s="9" t="s">
        <v>1931</v>
      </c>
      <c r="G145" s="9" t="s">
        <v>3436</v>
      </c>
      <c r="H145" s="9" t="s">
        <v>193</v>
      </c>
      <c r="I145" s="9" t="s">
        <v>3581</v>
      </c>
      <c r="J145" s="9" t="s">
        <v>3412</v>
      </c>
      <c r="K145" s="9" t="s">
        <v>3413</v>
      </c>
      <c r="L145" s="9" t="s">
        <v>3414</v>
      </c>
    </row>
    <row r="146" customFormat="false" ht="41.25" hidden="false" customHeight="true" outlineLevel="0" collapsed="false">
      <c r="A146" s="9" t="s">
        <v>1106</v>
      </c>
      <c r="B146" s="9" t="s">
        <v>1491</v>
      </c>
      <c r="C146" s="9" t="s">
        <v>481</v>
      </c>
      <c r="D146" s="9" t="s">
        <v>3584</v>
      </c>
      <c r="E146" s="9" t="s">
        <v>3425</v>
      </c>
      <c r="F146" s="9" t="s">
        <v>3146</v>
      </c>
      <c r="G146" s="9" t="s">
        <v>3436</v>
      </c>
      <c r="H146" s="9" t="s">
        <v>193</v>
      </c>
      <c r="I146" s="9" t="s">
        <v>3585</v>
      </c>
      <c r="J146" s="9" t="s">
        <v>3412</v>
      </c>
      <c r="K146" s="9" t="s">
        <v>3413</v>
      </c>
      <c r="L146" s="9" t="s">
        <v>3414</v>
      </c>
    </row>
    <row r="147" customFormat="false" ht="41.25" hidden="false" customHeight="true" outlineLevel="0" collapsed="false">
      <c r="A147" s="9" t="s">
        <v>1106</v>
      </c>
      <c r="B147" s="9" t="s">
        <v>1491</v>
      </c>
      <c r="C147" s="9" t="s">
        <v>481</v>
      </c>
      <c r="D147" s="9" t="s">
        <v>3586</v>
      </c>
      <c r="E147" s="9" t="s">
        <v>3435</v>
      </c>
      <c r="F147" s="9" t="s">
        <v>2060</v>
      </c>
      <c r="G147" s="9" t="s">
        <v>3436</v>
      </c>
      <c r="H147" s="9" t="s">
        <v>193</v>
      </c>
      <c r="I147" s="9" t="s">
        <v>3585</v>
      </c>
      <c r="J147" s="9" t="s">
        <v>3412</v>
      </c>
      <c r="K147" s="9" t="s">
        <v>3413</v>
      </c>
      <c r="L147" s="9" t="s">
        <v>3414</v>
      </c>
    </row>
    <row r="148" customFormat="false" ht="41.25" hidden="false" customHeight="true" outlineLevel="0" collapsed="false">
      <c r="A148" s="9" t="s">
        <v>1106</v>
      </c>
      <c r="B148" s="9" t="s">
        <v>1491</v>
      </c>
      <c r="C148" s="9" t="s">
        <v>481</v>
      </c>
      <c r="D148" s="9" t="s">
        <v>3587</v>
      </c>
      <c r="E148" s="9" t="s">
        <v>3435</v>
      </c>
      <c r="F148" s="9" t="s">
        <v>1931</v>
      </c>
      <c r="G148" s="9" t="s">
        <v>3436</v>
      </c>
      <c r="H148" s="9" t="s">
        <v>193</v>
      </c>
      <c r="I148" s="9" t="s">
        <v>3585</v>
      </c>
      <c r="J148" s="9" t="s">
        <v>3412</v>
      </c>
      <c r="K148" s="9" t="s">
        <v>3413</v>
      </c>
      <c r="L148" s="9" t="s">
        <v>3414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1" width="24"/>
    <col collapsed="false" customWidth="true" hidden="false" outlineLevel="0" max="2" min="2" style="1" width="16"/>
    <col collapsed="false" customWidth="true" hidden="false" outlineLevel="0" max="3" min="3" style="1" width="40"/>
    <col collapsed="false" customWidth="true" hidden="false" outlineLevel="0" max="4" min="4" style="1" width="24"/>
    <col collapsed="false" customWidth="true" hidden="false" outlineLevel="0" max="5" min="5" style="1" width="30"/>
    <col collapsed="false" customWidth="true" hidden="false" outlineLevel="0" max="6" min="6" style="1" width="36"/>
    <col collapsed="false" customWidth="true" hidden="false" outlineLevel="0" max="7" min="7" style="1" width="18"/>
    <col collapsed="false" customWidth="true" hidden="false" outlineLevel="0" max="8" min="8" style="1" width="40"/>
  </cols>
  <sheetData>
    <row r="1" customFormat="false" ht="45" hidden="false" customHeight="true" outlineLevel="0" collapsed="false">
      <c r="A1" s="10" t="s">
        <v>94</v>
      </c>
      <c r="B1" s="10" t="s">
        <v>106</v>
      </c>
      <c r="C1" s="10" t="s">
        <v>3588</v>
      </c>
      <c r="D1" s="10" t="s">
        <v>96</v>
      </c>
      <c r="E1" s="10" t="s">
        <v>3589</v>
      </c>
      <c r="F1" s="10" t="s">
        <v>3159</v>
      </c>
      <c r="G1" s="10" t="s">
        <v>123</v>
      </c>
      <c r="H1" s="10" t="s">
        <v>3590</v>
      </c>
    </row>
    <row r="2" customFormat="false" ht="27.75" hidden="false" customHeight="true" outlineLevel="0" collapsed="false">
      <c r="A2" s="9" t="s">
        <v>156</v>
      </c>
      <c r="B2" s="9" t="s">
        <v>168</v>
      </c>
      <c r="C2" s="9" t="s">
        <v>3591</v>
      </c>
      <c r="D2" s="9" t="s">
        <v>158</v>
      </c>
      <c r="E2" s="9" t="s">
        <v>3592</v>
      </c>
      <c r="F2" s="9" t="s">
        <v>181</v>
      </c>
      <c r="G2" s="9" t="s">
        <v>182</v>
      </c>
      <c r="H2" s="9" t="s">
        <v>3593</v>
      </c>
    </row>
    <row r="3" customFormat="false" ht="27.75" hidden="false" customHeight="true" outlineLevel="0" collapsed="false">
      <c r="A3" s="9" t="s">
        <v>156</v>
      </c>
      <c r="B3" s="9" t="s">
        <v>168</v>
      </c>
      <c r="C3" s="9" t="s">
        <v>3591</v>
      </c>
      <c r="D3" s="9" t="s">
        <v>215</v>
      </c>
      <c r="E3" s="9" t="s">
        <v>3592</v>
      </c>
      <c r="F3" s="9" t="s">
        <v>231</v>
      </c>
      <c r="G3" s="9" t="s">
        <v>232</v>
      </c>
      <c r="H3" s="9" t="s">
        <v>3593</v>
      </c>
    </row>
    <row r="4" customFormat="false" ht="27.75" hidden="false" customHeight="true" outlineLevel="0" collapsed="false">
      <c r="A4" s="9" t="s">
        <v>156</v>
      </c>
      <c r="B4" s="9" t="s">
        <v>168</v>
      </c>
      <c r="C4" s="9" t="s">
        <v>3591</v>
      </c>
      <c r="D4" s="9" t="s">
        <v>332</v>
      </c>
      <c r="E4" s="9" t="s">
        <v>3592</v>
      </c>
      <c r="F4" s="9" t="s">
        <v>333</v>
      </c>
      <c r="G4" s="9" t="s">
        <v>334</v>
      </c>
      <c r="H4" s="9" t="s">
        <v>3593</v>
      </c>
    </row>
    <row r="5" customFormat="false" ht="27.75" hidden="false" customHeight="true" outlineLevel="0" collapsed="false">
      <c r="A5" s="9" t="s">
        <v>156</v>
      </c>
      <c r="B5" s="9" t="s">
        <v>168</v>
      </c>
      <c r="C5" s="9" t="s">
        <v>3591</v>
      </c>
      <c r="D5" s="9" t="s">
        <v>332</v>
      </c>
      <c r="E5" s="9" t="s">
        <v>3592</v>
      </c>
      <c r="F5" s="9" t="s">
        <v>565</v>
      </c>
      <c r="G5" s="9" t="s">
        <v>566</v>
      </c>
      <c r="H5" s="9" t="s">
        <v>3593</v>
      </c>
    </row>
    <row r="6" customFormat="false" ht="27.75" hidden="false" customHeight="true" outlineLevel="0" collapsed="false">
      <c r="A6" s="9" t="s">
        <v>156</v>
      </c>
      <c r="B6" s="9" t="s">
        <v>168</v>
      </c>
      <c r="C6" s="9" t="s">
        <v>3591</v>
      </c>
      <c r="D6" s="9" t="s">
        <v>268</v>
      </c>
      <c r="E6" s="9" t="s">
        <v>3592</v>
      </c>
      <c r="F6" s="9" t="s">
        <v>269</v>
      </c>
      <c r="G6" s="9" t="s">
        <v>270</v>
      </c>
      <c r="H6" s="9" t="s">
        <v>3593</v>
      </c>
    </row>
    <row r="7" customFormat="false" ht="27.75" hidden="false" customHeight="true" outlineLevel="0" collapsed="false">
      <c r="A7" s="9" t="s">
        <v>156</v>
      </c>
      <c r="B7" s="9" t="s">
        <v>168</v>
      </c>
      <c r="C7" s="9" t="s">
        <v>3591</v>
      </c>
      <c r="D7" s="9" t="s">
        <v>299</v>
      </c>
      <c r="E7" s="9" t="s">
        <v>3592</v>
      </c>
      <c r="F7" s="9" t="s">
        <v>300</v>
      </c>
      <c r="G7" s="9" t="s">
        <v>301</v>
      </c>
      <c r="H7" s="9" t="s">
        <v>3593</v>
      </c>
    </row>
    <row r="8" customFormat="false" ht="27.75" hidden="false" customHeight="true" outlineLevel="0" collapsed="false">
      <c r="A8" s="9" t="s">
        <v>156</v>
      </c>
      <c r="B8" s="9" t="s">
        <v>168</v>
      </c>
      <c r="C8" s="9" t="s">
        <v>3591</v>
      </c>
      <c r="D8" s="9" t="s">
        <v>638</v>
      </c>
      <c r="E8" s="9" t="s">
        <v>3592</v>
      </c>
      <c r="F8" s="9" t="s">
        <v>649</v>
      </c>
      <c r="G8" s="9" t="s">
        <v>650</v>
      </c>
      <c r="H8" s="9" t="s">
        <v>3593</v>
      </c>
    </row>
    <row r="9" customFormat="false" ht="27.75" hidden="false" customHeight="true" outlineLevel="0" collapsed="false">
      <c r="A9" s="9" t="s">
        <v>156</v>
      </c>
      <c r="B9" s="9" t="s">
        <v>168</v>
      </c>
      <c r="C9" s="9" t="s">
        <v>3591</v>
      </c>
      <c r="D9" s="9" t="s">
        <v>420</v>
      </c>
      <c r="E9" s="9" t="s">
        <v>3592</v>
      </c>
      <c r="F9" s="9" t="s">
        <v>421</v>
      </c>
      <c r="G9" s="9" t="s">
        <v>422</v>
      </c>
      <c r="H9" s="9" t="s">
        <v>3593</v>
      </c>
    </row>
    <row r="10" customFormat="false" ht="27.75" hidden="false" customHeight="true" outlineLevel="0" collapsed="false">
      <c r="A10" s="9" t="s">
        <v>156</v>
      </c>
      <c r="B10" s="9" t="s">
        <v>168</v>
      </c>
      <c r="C10" s="9" t="s">
        <v>3591</v>
      </c>
      <c r="D10" s="9" t="s">
        <v>332</v>
      </c>
      <c r="E10" s="9" t="s">
        <v>3592</v>
      </c>
      <c r="F10" s="9" t="s">
        <v>607</v>
      </c>
      <c r="G10" s="9" t="s">
        <v>608</v>
      </c>
      <c r="H10" s="9" t="s">
        <v>3593</v>
      </c>
    </row>
    <row r="11" customFormat="false" ht="27.75" hidden="false" customHeight="true" outlineLevel="0" collapsed="false">
      <c r="A11" s="9" t="s">
        <v>156</v>
      </c>
      <c r="B11" s="9" t="s">
        <v>168</v>
      </c>
      <c r="C11" s="9" t="s">
        <v>3591</v>
      </c>
      <c r="D11" s="9" t="s">
        <v>158</v>
      </c>
      <c r="E11" s="9" t="s">
        <v>3592</v>
      </c>
      <c r="F11" s="9" t="s">
        <v>450</v>
      </c>
      <c r="G11" s="9" t="s">
        <v>451</v>
      </c>
      <c r="H11" s="9" t="s">
        <v>3593</v>
      </c>
    </row>
    <row r="12" customFormat="false" ht="27.75" hidden="false" customHeight="true" outlineLevel="0" collapsed="false">
      <c r="A12" s="9" t="s">
        <v>663</v>
      </c>
      <c r="B12" s="9" t="s">
        <v>674</v>
      </c>
      <c r="C12" s="9" t="s">
        <v>3594</v>
      </c>
      <c r="D12" s="9" t="s">
        <v>681</v>
      </c>
      <c r="E12" s="9" t="s">
        <v>3592</v>
      </c>
      <c r="F12" s="9" t="s">
        <v>682</v>
      </c>
      <c r="G12" s="9" t="s">
        <v>683</v>
      </c>
      <c r="H12" s="9" t="s">
        <v>3593</v>
      </c>
    </row>
    <row r="13" customFormat="false" ht="27.75" hidden="false" customHeight="true" outlineLevel="0" collapsed="false">
      <c r="A13" s="9" t="s">
        <v>663</v>
      </c>
      <c r="B13" s="9" t="s">
        <v>674</v>
      </c>
      <c r="C13" s="9" t="s">
        <v>3594</v>
      </c>
      <c r="D13" s="9" t="s">
        <v>158</v>
      </c>
      <c r="E13" s="9" t="s">
        <v>3592</v>
      </c>
      <c r="F13" s="9" t="s">
        <v>714</v>
      </c>
      <c r="G13" s="9" t="s">
        <v>715</v>
      </c>
      <c r="H13" s="9" t="s">
        <v>3593</v>
      </c>
    </row>
    <row r="14" customFormat="false" ht="27.75" hidden="false" customHeight="true" outlineLevel="0" collapsed="false">
      <c r="A14" s="9" t="s">
        <v>663</v>
      </c>
      <c r="B14" s="9" t="s">
        <v>674</v>
      </c>
      <c r="C14" s="9" t="s">
        <v>3594</v>
      </c>
      <c r="D14" s="9" t="s">
        <v>803</v>
      </c>
      <c r="E14" s="9" t="s">
        <v>3592</v>
      </c>
      <c r="F14" s="9" t="s">
        <v>1054</v>
      </c>
      <c r="G14" s="9" t="s">
        <v>1055</v>
      </c>
      <c r="H14" s="9" t="s">
        <v>3593</v>
      </c>
    </row>
    <row r="15" customFormat="false" ht="27.75" hidden="false" customHeight="true" outlineLevel="0" collapsed="false">
      <c r="A15" s="9" t="s">
        <v>663</v>
      </c>
      <c r="B15" s="9" t="s">
        <v>674</v>
      </c>
      <c r="C15" s="9" t="s">
        <v>3594</v>
      </c>
      <c r="D15" s="9" t="s">
        <v>745</v>
      </c>
      <c r="E15" s="9" t="s">
        <v>3592</v>
      </c>
      <c r="F15" s="9" t="s">
        <v>746</v>
      </c>
      <c r="G15" s="9" t="s">
        <v>747</v>
      </c>
      <c r="H15" s="9" t="s">
        <v>3593</v>
      </c>
    </row>
    <row r="16" customFormat="false" ht="27.75" hidden="false" customHeight="true" outlineLevel="0" collapsed="false">
      <c r="A16" s="9" t="s">
        <v>663</v>
      </c>
      <c r="B16" s="9" t="s">
        <v>674</v>
      </c>
      <c r="C16" s="9" t="s">
        <v>3594</v>
      </c>
      <c r="D16" s="9" t="s">
        <v>961</v>
      </c>
      <c r="E16" s="9" t="s">
        <v>3592</v>
      </c>
      <c r="F16" s="9" t="s">
        <v>962</v>
      </c>
      <c r="G16" s="9" t="s">
        <v>963</v>
      </c>
      <c r="H16" s="9" t="s">
        <v>3593</v>
      </c>
    </row>
    <row r="17" customFormat="false" ht="27.75" hidden="false" customHeight="true" outlineLevel="0" collapsed="false">
      <c r="A17" s="9" t="s">
        <v>663</v>
      </c>
      <c r="B17" s="9" t="s">
        <v>674</v>
      </c>
      <c r="C17" s="9" t="s">
        <v>3594</v>
      </c>
      <c r="D17" s="9" t="s">
        <v>1003</v>
      </c>
      <c r="E17" s="9" t="s">
        <v>3592</v>
      </c>
      <c r="F17" s="9" t="s">
        <v>1011</v>
      </c>
      <c r="G17" s="9" t="s">
        <v>1012</v>
      </c>
      <c r="H17" s="9" t="s">
        <v>3593</v>
      </c>
    </row>
    <row r="18" customFormat="false" ht="27.75" hidden="false" customHeight="true" outlineLevel="0" collapsed="false">
      <c r="A18" s="9" t="s">
        <v>663</v>
      </c>
      <c r="B18" s="9" t="s">
        <v>674</v>
      </c>
      <c r="C18" s="9" t="s">
        <v>3594</v>
      </c>
      <c r="D18" s="9" t="s">
        <v>880</v>
      </c>
      <c r="E18" s="9" t="s">
        <v>3592</v>
      </c>
      <c r="F18" s="9" t="s">
        <v>881</v>
      </c>
      <c r="G18" s="9" t="s">
        <v>882</v>
      </c>
      <c r="H18" s="9" t="s">
        <v>3593</v>
      </c>
    </row>
    <row r="19" customFormat="false" ht="27.75" hidden="false" customHeight="true" outlineLevel="0" collapsed="false">
      <c r="A19" s="9" t="s">
        <v>663</v>
      </c>
      <c r="B19" s="9" t="s">
        <v>674</v>
      </c>
      <c r="C19" s="9" t="s">
        <v>3594</v>
      </c>
      <c r="D19" s="9" t="s">
        <v>158</v>
      </c>
      <c r="E19" s="9" t="s">
        <v>3592</v>
      </c>
      <c r="F19" s="9" t="s">
        <v>1074</v>
      </c>
      <c r="G19" s="9" t="s">
        <v>1075</v>
      </c>
      <c r="H19" s="9" t="s">
        <v>3593</v>
      </c>
    </row>
    <row r="20" customFormat="false" ht="27.75" hidden="false" customHeight="true" outlineLevel="0" collapsed="false">
      <c r="A20" s="9" t="s">
        <v>663</v>
      </c>
      <c r="B20" s="9" t="s">
        <v>674</v>
      </c>
      <c r="C20" s="9" t="s">
        <v>3594</v>
      </c>
      <c r="D20" s="9" t="s">
        <v>1024</v>
      </c>
      <c r="E20" s="9" t="s">
        <v>3592</v>
      </c>
      <c r="F20" s="9" t="s">
        <v>1032</v>
      </c>
      <c r="G20" s="9" t="s">
        <v>1033</v>
      </c>
      <c r="H20" s="9" t="s">
        <v>3593</v>
      </c>
    </row>
    <row r="21" customFormat="false" ht="27.75" hidden="false" customHeight="true" outlineLevel="0" collapsed="false">
      <c r="A21" s="9" t="s">
        <v>663</v>
      </c>
      <c r="B21" s="9" t="s">
        <v>674</v>
      </c>
      <c r="C21" s="9" t="s">
        <v>3594</v>
      </c>
      <c r="D21" s="9" t="s">
        <v>803</v>
      </c>
      <c r="E21" s="9" t="s">
        <v>3592</v>
      </c>
      <c r="F21" s="9" t="s">
        <v>804</v>
      </c>
      <c r="G21" s="9" t="s">
        <v>805</v>
      </c>
      <c r="H21" s="9" t="s">
        <v>3593</v>
      </c>
    </row>
    <row r="22" customFormat="false" ht="27.75" hidden="false" customHeight="true" outlineLevel="0" collapsed="false">
      <c r="A22" s="9" t="s">
        <v>1106</v>
      </c>
      <c r="B22" s="9" t="s">
        <v>1117</v>
      </c>
      <c r="C22" s="9" t="s">
        <v>3595</v>
      </c>
      <c r="D22" s="9" t="s">
        <v>1408</v>
      </c>
      <c r="E22" s="9" t="s">
        <v>3592</v>
      </c>
      <c r="F22" s="9" t="s">
        <v>1438</v>
      </c>
      <c r="G22" s="9" t="s">
        <v>1439</v>
      </c>
      <c r="H22" s="9" t="s">
        <v>3593</v>
      </c>
    </row>
    <row r="23" customFormat="false" ht="27.75" hidden="false" customHeight="true" outlineLevel="0" collapsed="false">
      <c r="A23" s="9" t="s">
        <v>1106</v>
      </c>
      <c r="B23" s="9" t="s">
        <v>1117</v>
      </c>
      <c r="C23" s="9" t="s">
        <v>3595</v>
      </c>
      <c r="D23" s="9" t="s">
        <v>1124</v>
      </c>
      <c r="E23" s="9" t="s">
        <v>3592</v>
      </c>
      <c r="F23" s="9" t="s">
        <v>1125</v>
      </c>
      <c r="G23" s="9" t="s">
        <v>1126</v>
      </c>
      <c r="H23" s="9" t="s">
        <v>3593</v>
      </c>
    </row>
    <row r="24" customFormat="false" ht="27.75" hidden="false" customHeight="true" outlineLevel="0" collapsed="false">
      <c r="A24" s="9" t="s">
        <v>1106</v>
      </c>
      <c r="B24" s="9" t="s">
        <v>1117</v>
      </c>
      <c r="C24" s="9" t="s">
        <v>3595</v>
      </c>
      <c r="D24" s="9" t="s">
        <v>1209</v>
      </c>
      <c r="E24" s="9" t="s">
        <v>3592</v>
      </c>
      <c r="F24" s="9" t="s">
        <v>1210</v>
      </c>
      <c r="G24" s="9" t="s">
        <v>1211</v>
      </c>
      <c r="H24" s="9" t="s">
        <v>3593</v>
      </c>
    </row>
    <row r="25" customFormat="false" ht="27.75" hidden="false" customHeight="true" outlineLevel="0" collapsed="false">
      <c r="A25" s="9" t="s">
        <v>1106</v>
      </c>
      <c r="B25" s="9" t="s">
        <v>1117</v>
      </c>
      <c r="C25" s="9" t="s">
        <v>3595</v>
      </c>
      <c r="D25" s="9" t="s">
        <v>745</v>
      </c>
      <c r="E25" s="9" t="s">
        <v>3592</v>
      </c>
      <c r="F25" s="9" t="s">
        <v>1156</v>
      </c>
      <c r="G25" s="9" t="s">
        <v>1157</v>
      </c>
      <c r="H25" s="9" t="s">
        <v>3593</v>
      </c>
    </row>
    <row r="26" customFormat="false" ht="27.75" hidden="false" customHeight="true" outlineLevel="0" collapsed="false">
      <c r="A26" s="9" t="s">
        <v>1106</v>
      </c>
      <c r="B26" s="9" t="s">
        <v>1117</v>
      </c>
      <c r="C26" s="9" t="s">
        <v>3595</v>
      </c>
      <c r="D26" s="9" t="s">
        <v>1317</v>
      </c>
      <c r="E26" s="9" t="s">
        <v>3592</v>
      </c>
      <c r="F26" s="9" t="s">
        <v>1318</v>
      </c>
      <c r="G26" s="9" t="s">
        <v>1319</v>
      </c>
      <c r="H26" s="9" t="s">
        <v>3593</v>
      </c>
    </row>
    <row r="27" customFormat="false" ht="27.75" hidden="false" customHeight="true" outlineLevel="0" collapsed="false">
      <c r="A27" s="9" t="s">
        <v>1106</v>
      </c>
      <c r="B27" s="9" t="s">
        <v>1117</v>
      </c>
      <c r="C27" s="9" t="s">
        <v>3595</v>
      </c>
      <c r="D27" s="9" t="s">
        <v>1388</v>
      </c>
      <c r="E27" s="9" t="s">
        <v>3592</v>
      </c>
      <c r="F27" s="9" t="s">
        <v>1396</v>
      </c>
      <c r="G27" s="9" t="s">
        <v>1397</v>
      </c>
      <c r="H27" s="9" t="s">
        <v>3593</v>
      </c>
    </row>
    <row r="28" customFormat="false" ht="27.75" hidden="false" customHeight="true" outlineLevel="0" collapsed="false">
      <c r="A28" s="9" t="s">
        <v>1106</v>
      </c>
      <c r="B28" s="9" t="s">
        <v>1117</v>
      </c>
      <c r="C28" s="9" t="s">
        <v>3595</v>
      </c>
      <c r="D28" s="9" t="s">
        <v>1408</v>
      </c>
      <c r="E28" s="9" t="s">
        <v>3592</v>
      </c>
      <c r="F28" s="9" t="s">
        <v>1417</v>
      </c>
      <c r="G28" s="9" t="s">
        <v>1418</v>
      </c>
      <c r="H28" s="9" t="s">
        <v>3593</v>
      </c>
    </row>
    <row r="29" customFormat="false" ht="27.75" hidden="false" customHeight="true" outlineLevel="0" collapsed="false">
      <c r="A29" s="9" t="s">
        <v>1106</v>
      </c>
      <c r="B29" s="9" t="s">
        <v>1117</v>
      </c>
      <c r="C29" s="9" t="s">
        <v>3595</v>
      </c>
      <c r="D29" s="9" t="s">
        <v>1452</v>
      </c>
      <c r="E29" s="9" t="s">
        <v>3592</v>
      </c>
      <c r="F29" s="9" t="s">
        <v>1460</v>
      </c>
      <c r="G29" s="9" t="s">
        <v>1461</v>
      </c>
      <c r="H29" s="9" t="s">
        <v>3593</v>
      </c>
    </row>
    <row r="30" customFormat="false" ht="27.75" hidden="false" customHeight="true" outlineLevel="0" collapsed="false">
      <c r="A30" s="9" t="s">
        <v>1106</v>
      </c>
      <c r="B30" s="9" t="s">
        <v>1117</v>
      </c>
      <c r="C30" s="9" t="s">
        <v>3595</v>
      </c>
      <c r="D30" s="9" t="s">
        <v>1317</v>
      </c>
      <c r="E30" s="9" t="s">
        <v>3592</v>
      </c>
      <c r="F30" s="9" t="s">
        <v>1478</v>
      </c>
      <c r="G30" s="9" t="s">
        <v>1479</v>
      </c>
      <c r="H30" s="9" t="s">
        <v>3593</v>
      </c>
    </row>
    <row r="31" customFormat="false" ht="27.75" hidden="false" customHeight="true" outlineLevel="0" collapsed="false">
      <c r="A31" s="9" t="s">
        <v>1106</v>
      </c>
      <c r="B31" s="9" t="s">
        <v>1117</v>
      </c>
      <c r="C31" s="9" t="s">
        <v>3595</v>
      </c>
      <c r="D31" s="9" t="s">
        <v>1346</v>
      </c>
      <c r="E31" s="9" t="s">
        <v>3592</v>
      </c>
      <c r="F31" s="9" t="s">
        <v>1347</v>
      </c>
      <c r="G31" s="9" t="s">
        <v>1348</v>
      </c>
      <c r="H31" s="9" t="s">
        <v>3593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8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2" min="2" style="1" width="36"/>
    <col collapsed="false" customWidth="true" hidden="false" outlineLevel="0" max="3" min="3" style="1" width="24"/>
    <col collapsed="false" customWidth="true" hidden="false" outlineLevel="0" max="6" min="4" style="1" width="40"/>
    <col collapsed="false" customWidth="true" hidden="false" outlineLevel="0" max="7" min="7" style="1" width="28"/>
  </cols>
  <sheetData>
    <row r="1" customFormat="false" ht="45" hidden="false" customHeight="true" outlineLevel="0" collapsed="false">
      <c r="A1" s="10" t="s">
        <v>3596</v>
      </c>
      <c r="B1" s="10" t="s">
        <v>3597</v>
      </c>
      <c r="C1" s="10" t="s">
        <v>3598</v>
      </c>
      <c r="D1" s="10" t="s">
        <v>3599</v>
      </c>
      <c r="E1" s="10" t="s">
        <v>3600</v>
      </c>
      <c r="F1" s="10" t="s">
        <v>3601</v>
      </c>
      <c r="G1" s="10" t="s">
        <v>3602</v>
      </c>
    </row>
    <row r="2" customFormat="false" ht="27.75" hidden="false" customHeight="true" outlineLevel="0" collapsed="false">
      <c r="A2" s="9" t="s">
        <v>3603</v>
      </c>
      <c r="B2" s="9" t="s">
        <v>3604</v>
      </c>
      <c r="C2" s="9" t="s">
        <v>156</v>
      </c>
      <c r="D2" s="9" t="s">
        <v>160</v>
      </c>
      <c r="E2" s="9" t="s">
        <v>153</v>
      </c>
      <c r="F2" s="9" t="s">
        <v>3605</v>
      </c>
      <c r="G2" s="9" t="s">
        <v>3606</v>
      </c>
    </row>
    <row r="3" customFormat="false" ht="27.75" hidden="false" customHeight="true" outlineLevel="0" collapsed="false">
      <c r="A3" s="9" t="s">
        <v>3607</v>
      </c>
      <c r="B3" s="9" t="s">
        <v>3604</v>
      </c>
      <c r="C3" s="9" t="s">
        <v>156</v>
      </c>
      <c r="D3" s="9" t="s">
        <v>3608</v>
      </c>
      <c r="E3" s="9" t="s">
        <v>3609</v>
      </c>
      <c r="F3" s="9" t="s">
        <v>3605</v>
      </c>
      <c r="G3" s="9" t="s">
        <v>3606</v>
      </c>
    </row>
    <row r="4" customFormat="false" ht="27.75" hidden="false" customHeight="true" outlineLevel="0" collapsed="false">
      <c r="A4" s="9" t="s">
        <v>3610</v>
      </c>
      <c r="B4" s="9" t="s">
        <v>3604</v>
      </c>
      <c r="C4" s="9" t="s">
        <v>156</v>
      </c>
      <c r="D4" s="9" t="s">
        <v>481</v>
      </c>
      <c r="E4" s="9" t="s">
        <v>522</v>
      </c>
      <c r="F4" s="9" t="s">
        <v>3605</v>
      </c>
      <c r="G4" s="9" t="s">
        <v>3606</v>
      </c>
    </row>
    <row r="5" customFormat="false" ht="27.75" hidden="false" customHeight="true" outlineLevel="0" collapsed="false">
      <c r="A5" s="9" t="s">
        <v>2728</v>
      </c>
      <c r="B5" s="9" t="s">
        <v>3604</v>
      </c>
      <c r="C5" s="9" t="s">
        <v>156</v>
      </c>
      <c r="D5" s="9" t="s">
        <v>3611</v>
      </c>
      <c r="E5" s="9" t="s">
        <v>3612</v>
      </c>
      <c r="F5" s="9" t="s">
        <v>3605</v>
      </c>
      <c r="G5" s="9" t="s">
        <v>3606</v>
      </c>
    </row>
    <row r="6" customFormat="false" ht="27.75" hidden="false" customHeight="true" outlineLevel="0" collapsed="false">
      <c r="A6" s="9" t="s">
        <v>3613</v>
      </c>
      <c r="B6" s="9" t="s">
        <v>3614</v>
      </c>
      <c r="C6" s="9" t="s">
        <v>156</v>
      </c>
      <c r="D6" s="9" t="s">
        <v>271</v>
      </c>
      <c r="E6" s="9" t="s">
        <v>578</v>
      </c>
      <c r="F6" s="9" t="s">
        <v>3605</v>
      </c>
      <c r="G6" s="9" t="s">
        <v>3606</v>
      </c>
    </row>
    <row r="7" customFormat="false" ht="27.75" hidden="false" customHeight="true" outlineLevel="0" collapsed="false">
      <c r="A7" s="9" t="s">
        <v>3615</v>
      </c>
      <c r="B7" s="9" t="s">
        <v>3614</v>
      </c>
      <c r="C7" s="9" t="s">
        <v>156</v>
      </c>
      <c r="D7" s="9" t="s">
        <v>271</v>
      </c>
      <c r="E7" s="9" t="s">
        <v>248</v>
      </c>
      <c r="F7" s="9" t="s">
        <v>3605</v>
      </c>
      <c r="G7" s="9" t="s">
        <v>3606</v>
      </c>
    </row>
    <row r="8" customFormat="false" ht="27.75" hidden="false" customHeight="true" outlineLevel="0" collapsed="false">
      <c r="A8" s="9" t="s">
        <v>3616</v>
      </c>
      <c r="B8" s="9" t="s">
        <v>3617</v>
      </c>
      <c r="C8" s="9" t="s">
        <v>156</v>
      </c>
      <c r="D8" s="9" t="s">
        <v>217</v>
      </c>
      <c r="E8" s="9" t="s">
        <v>211</v>
      </c>
      <c r="F8" s="9" t="s">
        <v>3605</v>
      </c>
      <c r="G8" s="9" t="s">
        <v>3606</v>
      </c>
    </row>
    <row r="9" customFormat="false" ht="27.75" hidden="false" customHeight="true" outlineLevel="0" collapsed="false">
      <c r="A9" s="9" t="s">
        <v>3618</v>
      </c>
      <c r="B9" s="9" t="s">
        <v>3619</v>
      </c>
      <c r="C9" s="9" t="s">
        <v>156</v>
      </c>
      <c r="D9" s="9" t="s">
        <v>423</v>
      </c>
      <c r="E9" s="9" t="s">
        <v>402</v>
      </c>
      <c r="F9" s="9" t="s">
        <v>3605</v>
      </c>
      <c r="G9" s="9" t="s">
        <v>3606</v>
      </c>
    </row>
    <row r="10" customFormat="false" ht="27.75" hidden="false" customHeight="true" outlineLevel="0" collapsed="false">
      <c r="A10" s="9" t="s">
        <v>3620</v>
      </c>
      <c r="B10" s="9" t="s">
        <v>3617</v>
      </c>
      <c r="C10" s="9" t="s">
        <v>156</v>
      </c>
      <c r="D10" s="9" t="s">
        <v>271</v>
      </c>
      <c r="E10" s="9" t="s">
        <v>248</v>
      </c>
      <c r="F10" s="9" t="s">
        <v>3605</v>
      </c>
      <c r="G10" s="9" t="s">
        <v>3606</v>
      </c>
    </row>
    <row r="11" customFormat="false" ht="27.75" hidden="false" customHeight="true" outlineLevel="0" collapsed="false">
      <c r="A11" s="9" t="s">
        <v>3621</v>
      </c>
      <c r="B11" s="9" t="s">
        <v>3617</v>
      </c>
      <c r="C11" s="9" t="s">
        <v>156</v>
      </c>
      <c r="D11" s="9" t="s">
        <v>302</v>
      </c>
      <c r="E11" s="9" t="s">
        <v>283</v>
      </c>
      <c r="F11" s="9" t="s">
        <v>3605</v>
      </c>
      <c r="G11" s="9" t="s">
        <v>3606</v>
      </c>
    </row>
    <row r="12" customFormat="false" ht="41.25" hidden="false" customHeight="true" outlineLevel="0" collapsed="false">
      <c r="A12" s="9" t="s">
        <v>3622</v>
      </c>
      <c r="B12" s="9" t="s">
        <v>3617</v>
      </c>
      <c r="C12" s="9" t="s">
        <v>156</v>
      </c>
      <c r="D12" s="9" t="s">
        <v>3623</v>
      </c>
      <c r="E12" s="9" t="s">
        <v>3624</v>
      </c>
      <c r="F12" s="9" t="s">
        <v>3605</v>
      </c>
      <c r="G12" s="9" t="s">
        <v>3606</v>
      </c>
    </row>
    <row r="13" customFormat="false" ht="27.75" hidden="false" customHeight="true" outlineLevel="0" collapsed="false">
      <c r="A13" s="9" t="s">
        <v>3625</v>
      </c>
      <c r="B13" s="9" t="s">
        <v>3617</v>
      </c>
      <c r="C13" s="9" t="s">
        <v>156</v>
      </c>
      <c r="D13" s="9" t="s">
        <v>160</v>
      </c>
      <c r="E13" s="9" t="s">
        <v>153</v>
      </c>
      <c r="F13" s="9" t="s">
        <v>3605</v>
      </c>
      <c r="G13" s="9" t="s">
        <v>3606</v>
      </c>
    </row>
    <row r="14" customFormat="false" ht="27.75" hidden="false" customHeight="true" outlineLevel="0" collapsed="false">
      <c r="A14" s="9" t="s">
        <v>3626</v>
      </c>
      <c r="B14" s="9" t="s">
        <v>3627</v>
      </c>
      <c r="C14" s="9" t="s">
        <v>156</v>
      </c>
      <c r="D14" s="9" t="s">
        <v>423</v>
      </c>
      <c r="E14" s="9" t="s">
        <v>620</v>
      </c>
      <c r="F14" s="9" t="s">
        <v>3605</v>
      </c>
      <c r="G14" s="9" t="s">
        <v>3606</v>
      </c>
    </row>
    <row r="15" customFormat="false" ht="27.75" hidden="false" customHeight="true" outlineLevel="0" collapsed="false">
      <c r="A15" s="9" t="s">
        <v>3628</v>
      </c>
      <c r="B15" s="9" t="s">
        <v>3617</v>
      </c>
      <c r="C15" s="9" t="s">
        <v>156</v>
      </c>
      <c r="D15" s="9" t="s">
        <v>271</v>
      </c>
      <c r="E15" s="9" t="s">
        <v>578</v>
      </c>
      <c r="F15" s="9" t="s">
        <v>3605</v>
      </c>
      <c r="G15" s="9" t="s">
        <v>3606</v>
      </c>
    </row>
    <row r="16" customFormat="false" ht="27.75" hidden="false" customHeight="true" outlineLevel="0" collapsed="false">
      <c r="A16" s="9" t="s">
        <v>333</v>
      </c>
      <c r="B16" s="9" t="s">
        <v>3629</v>
      </c>
      <c r="C16" s="9" t="s">
        <v>156</v>
      </c>
      <c r="D16" s="9" t="s">
        <v>3630</v>
      </c>
      <c r="E16" s="9" t="s">
        <v>3631</v>
      </c>
      <c r="F16" s="9" t="s">
        <v>3605</v>
      </c>
      <c r="G16" s="9" t="s">
        <v>3606</v>
      </c>
    </row>
    <row r="17" customFormat="false" ht="27.75" hidden="false" customHeight="true" outlineLevel="0" collapsed="false">
      <c r="A17" s="9" t="s">
        <v>3632</v>
      </c>
      <c r="B17" s="9" t="s">
        <v>3629</v>
      </c>
      <c r="C17" s="9" t="s">
        <v>156</v>
      </c>
      <c r="D17" s="9" t="s">
        <v>481</v>
      </c>
      <c r="E17" s="9" t="s">
        <v>495</v>
      </c>
      <c r="F17" s="9" t="s">
        <v>3605</v>
      </c>
      <c r="G17" s="9" t="s">
        <v>3606</v>
      </c>
    </row>
    <row r="18" customFormat="false" ht="27.75" hidden="false" customHeight="true" outlineLevel="0" collapsed="false">
      <c r="A18" s="9" t="s">
        <v>3633</v>
      </c>
      <c r="B18" s="9" t="s">
        <v>3629</v>
      </c>
      <c r="C18" s="9" t="s">
        <v>156</v>
      </c>
      <c r="D18" s="9" t="s">
        <v>481</v>
      </c>
      <c r="E18" s="9" t="s">
        <v>465</v>
      </c>
      <c r="F18" s="9" t="s">
        <v>3605</v>
      </c>
      <c r="G18" s="9" t="s">
        <v>3606</v>
      </c>
    </row>
    <row r="19" customFormat="false" ht="27.75" hidden="false" customHeight="true" outlineLevel="0" collapsed="false">
      <c r="A19" s="9" t="s">
        <v>3634</v>
      </c>
      <c r="B19" s="9" t="s">
        <v>3629</v>
      </c>
      <c r="C19" s="9" t="s">
        <v>156</v>
      </c>
      <c r="D19" s="9" t="s">
        <v>651</v>
      </c>
      <c r="E19" s="9" t="s">
        <v>637</v>
      </c>
      <c r="F19" s="9" t="s">
        <v>3605</v>
      </c>
      <c r="G19" s="9" t="s">
        <v>3606</v>
      </c>
    </row>
    <row r="20" customFormat="false" ht="27.75" hidden="false" customHeight="true" outlineLevel="0" collapsed="false">
      <c r="A20" s="9" t="s">
        <v>3635</v>
      </c>
      <c r="B20" s="9" t="s">
        <v>3617</v>
      </c>
      <c r="C20" s="9" t="s">
        <v>156</v>
      </c>
      <c r="D20" s="9" t="s">
        <v>271</v>
      </c>
      <c r="E20" s="9" t="s">
        <v>578</v>
      </c>
      <c r="F20" s="9" t="s">
        <v>3605</v>
      </c>
      <c r="G20" s="9" t="s">
        <v>3606</v>
      </c>
    </row>
    <row r="21" customFormat="false" ht="27.75" hidden="false" customHeight="true" outlineLevel="0" collapsed="false">
      <c r="A21" s="9" t="s">
        <v>3636</v>
      </c>
      <c r="B21" s="9" t="s">
        <v>3627</v>
      </c>
      <c r="C21" s="9" t="s">
        <v>156</v>
      </c>
      <c r="D21" s="9" t="s">
        <v>452</v>
      </c>
      <c r="E21" s="9" t="s">
        <v>435</v>
      </c>
      <c r="F21" s="9" t="s">
        <v>3605</v>
      </c>
      <c r="G21" s="9" t="s">
        <v>3606</v>
      </c>
    </row>
    <row r="22" customFormat="false" ht="27.75" hidden="false" customHeight="true" outlineLevel="0" collapsed="false">
      <c r="A22" s="9" t="s">
        <v>3637</v>
      </c>
      <c r="B22" s="9" t="s">
        <v>3617</v>
      </c>
      <c r="C22" s="9" t="s">
        <v>156</v>
      </c>
      <c r="D22" s="9" t="s">
        <v>160</v>
      </c>
      <c r="E22" s="9" t="s">
        <v>153</v>
      </c>
      <c r="F22" s="9" t="s">
        <v>3605</v>
      </c>
      <c r="G22" s="9" t="s">
        <v>3606</v>
      </c>
    </row>
    <row r="23" customFormat="false" ht="27.75" hidden="false" customHeight="true" outlineLevel="0" collapsed="false">
      <c r="A23" s="9" t="s">
        <v>3638</v>
      </c>
      <c r="B23" s="9" t="s">
        <v>3627</v>
      </c>
      <c r="C23" s="9" t="s">
        <v>156</v>
      </c>
      <c r="D23" s="9" t="s">
        <v>217</v>
      </c>
      <c r="E23" s="9" t="s">
        <v>211</v>
      </c>
      <c r="F23" s="9" t="s">
        <v>3605</v>
      </c>
      <c r="G23" s="9" t="s">
        <v>3606</v>
      </c>
    </row>
    <row r="24" customFormat="false" ht="27.75" hidden="false" customHeight="true" outlineLevel="0" collapsed="false">
      <c r="A24" s="9" t="s">
        <v>3639</v>
      </c>
      <c r="B24" s="9" t="s">
        <v>3617</v>
      </c>
      <c r="C24" s="9" t="s">
        <v>156</v>
      </c>
      <c r="D24" s="9" t="s">
        <v>217</v>
      </c>
      <c r="E24" s="9" t="s">
        <v>347</v>
      </c>
      <c r="F24" s="9" t="s">
        <v>3605</v>
      </c>
      <c r="G24" s="9" t="s">
        <v>3606</v>
      </c>
    </row>
    <row r="25" customFormat="false" ht="27.75" hidden="false" customHeight="true" outlineLevel="0" collapsed="false">
      <c r="A25" s="9" t="s">
        <v>3640</v>
      </c>
      <c r="B25" s="9" t="s">
        <v>3641</v>
      </c>
      <c r="C25" s="9" t="s">
        <v>156</v>
      </c>
      <c r="D25" s="9" t="s">
        <v>160</v>
      </c>
      <c r="E25" s="9" t="s">
        <v>375</v>
      </c>
      <c r="F25" s="9" t="s">
        <v>3605</v>
      </c>
      <c r="G25" s="9" t="s">
        <v>3606</v>
      </c>
    </row>
    <row r="26" customFormat="false" ht="27.75" hidden="false" customHeight="true" outlineLevel="0" collapsed="false">
      <c r="A26" s="9" t="s">
        <v>3642</v>
      </c>
      <c r="B26" s="9" t="s">
        <v>3641</v>
      </c>
      <c r="C26" s="9" t="s">
        <v>156</v>
      </c>
      <c r="D26" s="9" t="s">
        <v>160</v>
      </c>
      <c r="E26" s="9" t="s">
        <v>375</v>
      </c>
      <c r="F26" s="9" t="s">
        <v>3605</v>
      </c>
      <c r="G26" s="9" t="s">
        <v>3606</v>
      </c>
    </row>
    <row r="27" customFormat="false" ht="27.75" hidden="false" customHeight="true" outlineLevel="0" collapsed="false">
      <c r="A27" s="9" t="s">
        <v>3643</v>
      </c>
      <c r="B27" s="9" t="s">
        <v>3617</v>
      </c>
      <c r="C27" s="9" t="s">
        <v>156</v>
      </c>
      <c r="D27" s="9" t="s">
        <v>423</v>
      </c>
      <c r="E27" s="9" t="s">
        <v>402</v>
      </c>
      <c r="F27" s="9" t="s">
        <v>3605</v>
      </c>
      <c r="G27" s="9" t="s">
        <v>3606</v>
      </c>
    </row>
    <row r="28" customFormat="false" ht="27.75" hidden="false" customHeight="true" outlineLevel="0" collapsed="false">
      <c r="A28" s="9" t="s">
        <v>3644</v>
      </c>
      <c r="B28" s="9" t="s">
        <v>3604</v>
      </c>
      <c r="C28" s="9" t="s">
        <v>156</v>
      </c>
      <c r="D28" s="9" t="s">
        <v>160</v>
      </c>
      <c r="E28" s="9" t="s">
        <v>153</v>
      </c>
      <c r="F28" s="9" t="s">
        <v>3605</v>
      </c>
      <c r="G28" s="9" t="s">
        <v>3606</v>
      </c>
    </row>
    <row r="29" customFormat="false" ht="27.75" hidden="false" customHeight="true" outlineLevel="0" collapsed="false">
      <c r="A29" s="9" t="s">
        <v>3645</v>
      </c>
      <c r="B29" s="9" t="s">
        <v>3627</v>
      </c>
      <c r="C29" s="9" t="s">
        <v>156</v>
      </c>
      <c r="D29" s="9" t="s">
        <v>3611</v>
      </c>
      <c r="E29" s="9" t="s">
        <v>3612</v>
      </c>
      <c r="F29" s="9" t="s">
        <v>3605</v>
      </c>
      <c r="G29" s="9" t="s">
        <v>3606</v>
      </c>
    </row>
    <row r="30" customFormat="false" ht="27.75" hidden="false" customHeight="true" outlineLevel="0" collapsed="false">
      <c r="A30" s="9" t="s">
        <v>3646</v>
      </c>
      <c r="B30" s="9" t="s">
        <v>3627</v>
      </c>
      <c r="C30" s="9" t="s">
        <v>156</v>
      </c>
      <c r="D30" s="9" t="s">
        <v>217</v>
      </c>
      <c r="E30" s="9" t="s">
        <v>347</v>
      </c>
      <c r="F30" s="9" t="s">
        <v>3605</v>
      </c>
      <c r="G30" s="9" t="s">
        <v>3606</v>
      </c>
    </row>
    <row r="31" customFormat="false" ht="27.75" hidden="false" customHeight="true" outlineLevel="0" collapsed="false">
      <c r="A31" s="9" t="s">
        <v>3647</v>
      </c>
      <c r="B31" s="9" t="s">
        <v>3648</v>
      </c>
      <c r="C31" s="9" t="s">
        <v>156</v>
      </c>
      <c r="D31" s="9" t="s">
        <v>651</v>
      </c>
      <c r="E31" s="9" t="s">
        <v>637</v>
      </c>
      <c r="F31" s="9" t="s">
        <v>3605</v>
      </c>
      <c r="G31" s="9" t="s">
        <v>3606</v>
      </c>
    </row>
    <row r="32" customFormat="false" ht="27.75" hidden="false" customHeight="true" outlineLevel="0" collapsed="false">
      <c r="A32" s="9" t="s">
        <v>3649</v>
      </c>
      <c r="B32" s="9" t="s">
        <v>3648</v>
      </c>
      <c r="C32" s="9" t="s">
        <v>156</v>
      </c>
      <c r="D32" s="9" t="s">
        <v>609</v>
      </c>
      <c r="E32" s="9" t="s">
        <v>596</v>
      </c>
      <c r="F32" s="9" t="s">
        <v>3605</v>
      </c>
      <c r="G32" s="9" t="s">
        <v>3606</v>
      </c>
    </row>
    <row r="33" customFormat="false" ht="27.75" hidden="false" customHeight="true" outlineLevel="0" collapsed="false">
      <c r="A33" s="9" t="s">
        <v>3650</v>
      </c>
      <c r="B33" s="9" t="s">
        <v>3648</v>
      </c>
      <c r="C33" s="9" t="s">
        <v>156</v>
      </c>
      <c r="D33" s="9" t="s">
        <v>217</v>
      </c>
      <c r="E33" s="9" t="s">
        <v>211</v>
      </c>
      <c r="F33" s="9" t="s">
        <v>3605</v>
      </c>
      <c r="G33" s="9" t="s">
        <v>3606</v>
      </c>
    </row>
    <row r="34" customFormat="false" ht="27.75" hidden="false" customHeight="true" outlineLevel="0" collapsed="false">
      <c r="A34" s="9" t="s">
        <v>3651</v>
      </c>
      <c r="B34" s="9" t="s">
        <v>3648</v>
      </c>
      <c r="C34" s="9" t="s">
        <v>156</v>
      </c>
      <c r="D34" s="9" t="s">
        <v>452</v>
      </c>
      <c r="E34" s="9" t="s">
        <v>435</v>
      </c>
      <c r="F34" s="9" t="s">
        <v>3605</v>
      </c>
      <c r="G34" s="9" t="s">
        <v>3606</v>
      </c>
    </row>
    <row r="35" customFormat="false" ht="27.75" hidden="false" customHeight="true" outlineLevel="0" collapsed="false">
      <c r="A35" s="9" t="s">
        <v>3652</v>
      </c>
      <c r="B35" s="9" t="s">
        <v>3653</v>
      </c>
      <c r="C35" s="9" t="s">
        <v>156</v>
      </c>
      <c r="D35" s="9" t="s">
        <v>271</v>
      </c>
      <c r="E35" s="9" t="s">
        <v>248</v>
      </c>
      <c r="F35" s="9" t="s">
        <v>3605</v>
      </c>
      <c r="G35" s="9" t="s">
        <v>3606</v>
      </c>
    </row>
    <row r="36" customFormat="false" ht="27.75" hidden="false" customHeight="true" outlineLevel="0" collapsed="false">
      <c r="A36" s="9" t="s">
        <v>3654</v>
      </c>
      <c r="B36" s="9" t="s">
        <v>3655</v>
      </c>
      <c r="C36" s="9" t="s">
        <v>156</v>
      </c>
      <c r="D36" s="9" t="s">
        <v>302</v>
      </c>
      <c r="E36" s="9" t="s">
        <v>283</v>
      </c>
      <c r="F36" s="9" t="s">
        <v>3605</v>
      </c>
      <c r="G36" s="9" t="s">
        <v>3606</v>
      </c>
    </row>
    <row r="37" customFormat="false" ht="27.75" hidden="false" customHeight="true" outlineLevel="0" collapsed="false">
      <c r="A37" s="9" t="s">
        <v>3656</v>
      </c>
      <c r="B37" s="9" t="s">
        <v>3657</v>
      </c>
      <c r="C37" s="9" t="s">
        <v>156</v>
      </c>
      <c r="D37" s="9" t="s">
        <v>3658</v>
      </c>
      <c r="E37" s="9" t="s">
        <v>3659</v>
      </c>
      <c r="F37" s="9" t="s">
        <v>3605</v>
      </c>
      <c r="G37" s="9" t="s">
        <v>3606</v>
      </c>
    </row>
    <row r="38" customFormat="false" ht="27.75" hidden="false" customHeight="true" outlineLevel="0" collapsed="false">
      <c r="A38" s="9" t="s">
        <v>3660</v>
      </c>
      <c r="B38" s="9" t="s">
        <v>3617</v>
      </c>
      <c r="C38" s="9" t="s">
        <v>1106</v>
      </c>
      <c r="D38" s="9" t="s">
        <v>1440</v>
      </c>
      <c r="E38" s="9" t="s">
        <v>1428</v>
      </c>
      <c r="F38" s="9" t="s">
        <v>3605</v>
      </c>
      <c r="G38" s="9" t="s">
        <v>3606</v>
      </c>
    </row>
    <row r="39" customFormat="false" ht="27.75" hidden="false" customHeight="true" outlineLevel="0" collapsed="false">
      <c r="A39" s="9" t="s">
        <v>3661</v>
      </c>
      <c r="B39" s="9" t="s">
        <v>3604</v>
      </c>
      <c r="C39" s="9" t="s">
        <v>1106</v>
      </c>
      <c r="D39" s="9" t="s">
        <v>1419</v>
      </c>
      <c r="E39" s="9" t="s">
        <v>1407</v>
      </c>
      <c r="F39" s="9" t="s">
        <v>3605</v>
      </c>
      <c r="G39" s="9" t="s">
        <v>3606</v>
      </c>
    </row>
    <row r="40" customFormat="false" ht="27.75" hidden="false" customHeight="true" outlineLevel="0" collapsed="false">
      <c r="A40" s="9" t="s">
        <v>2600</v>
      </c>
      <c r="B40" s="9" t="s">
        <v>3617</v>
      </c>
      <c r="C40" s="9" t="s">
        <v>1106</v>
      </c>
      <c r="D40" s="9" t="s">
        <v>481</v>
      </c>
      <c r="E40" s="9" t="s">
        <v>1280</v>
      </c>
      <c r="F40" s="9" t="s">
        <v>3605</v>
      </c>
      <c r="G40" s="9" t="s">
        <v>3606</v>
      </c>
    </row>
    <row r="41" customFormat="false" ht="27.75" hidden="false" customHeight="true" outlineLevel="0" collapsed="false">
      <c r="A41" s="9" t="s">
        <v>3662</v>
      </c>
      <c r="B41" s="9" t="s">
        <v>3663</v>
      </c>
      <c r="C41" s="9" t="s">
        <v>1106</v>
      </c>
      <c r="D41" s="9" t="s">
        <v>1158</v>
      </c>
      <c r="E41" s="9" t="s">
        <v>1171</v>
      </c>
      <c r="F41" s="9" t="s">
        <v>3605</v>
      </c>
      <c r="G41" s="9" t="s">
        <v>3606</v>
      </c>
    </row>
    <row r="42" customFormat="false" ht="27.75" hidden="false" customHeight="true" outlineLevel="0" collapsed="false">
      <c r="A42" s="9" t="s">
        <v>3613</v>
      </c>
      <c r="B42" s="9" t="s">
        <v>3614</v>
      </c>
      <c r="C42" s="9" t="s">
        <v>1106</v>
      </c>
      <c r="D42" s="9" t="s">
        <v>481</v>
      </c>
      <c r="E42" s="9" t="s">
        <v>1361</v>
      </c>
      <c r="F42" s="9" t="s">
        <v>3605</v>
      </c>
      <c r="G42" s="9" t="s">
        <v>3606</v>
      </c>
    </row>
    <row r="43" customFormat="false" ht="27.75" hidden="false" customHeight="true" outlineLevel="0" collapsed="false">
      <c r="A43" s="9" t="s">
        <v>3664</v>
      </c>
      <c r="B43" s="9" t="s">
        <v>3619</v>
      </c>
      <c r="C43" s="9" t="s">
        <v>1106</v>
      </c>
      <c r="D43" s="9" t="s">
        <v>1349</v>
      </c>
      <c r="E43" s="9" t="s">
        <v>1332</v>
      </c>
      <c r="F43" s="9" t="s">
        <v>3605</v>
      </c>
      <c r="G43" s="9" t="s">
        <v>3606</v>
      </c>
    </row>
    <row r="44" customFormat="false" ht="27.75" hidden="false" customHeight="true" outlineLevel="0" collapsed="false">
      <c r="A44" s="9" t="s">
        <v>3665</v>
      </c>
      <c r="B44" s="9" t="s">
        <v>3666</v>
      </c>
      <c r="C44" s="9" t="s">
        <v>1106</v>
      </c>
      <c r="D44" s="9" t="s">
        <v>1158</v>
      </c>
      <c r="E44" s="9" t="s">
        <v>1171</v>
      </c>
      <c r="F44" s="9" t="s">
        <v>3605</v>
      </c>
      <c r="G44" s="9" t="s">
        <v>3606</v>
      </c>
    </row>
    <row r="45" customFormat="false" ht="27.75" hidden="false" customHeight="true" outlineLevel="0" collapsed="false">
      <c r="A45" s="9" t="s">
        <v>3622</v>
      </c>
      <c r="B45" s="9" t="s">
        <v>3617</v>
      </c>
      <c r="C45" s="9" t="s">
        <v>1106</v>
      </c>
      <c r="D45" s="9" t="s">
        <v>1110</v>
      </c>
      <c r="E45" s="9" t="s">
        <v>1104</v>
      </c>
      <c r="F45" s="9" t="s">
        <v>3605</v>
      </c>
      <c r="G45" s="9" t="s">
        <v>3606</v>
      </c>
    </row>
    <row r="46" customFormat="false" ht="27.75" hidden="false" customHeight="true" outlineLevel="0" collapsed="false">
      <c r="A46" s="9" t="s">
        <v>3667</v>
      </c>
      <c r="B46" s="9" t="s">
        <v>3666</v>
      </c>
      <c r="C46" s="9" t="s">
        <v>1106</v>
      </c>
      <c r="D46" s="9" t="s">
        <v>1212</v>
      </c>
      <c r="E46" s="9" t="s">
        <v>1195</v>
      </c>
      <c r="F46" s="9" t="s">
        <v>3605</v>
      </c>
      <c r="G46" s="9" t="s">
        <v>3606</v>
      </c>
    </row>
    <row r="47" customFormat="false" ht="27.75" hidden="false" customHeight="true" outlineLevel="0" collapsed="false">
      <c r="A47" s="9" t="s">
        <v>3668</v>
      </c>
      <c r="B47" s="9" t="s">
        <v>3617</v>
      </c>
      <c r="C47" s="9" t="s">
        <v>1106</v>
      </c>
      <c r="D47" s="9" t="s">
        <v>1398</v>
      </c>
      <c r="E47" s="9" t="s">
        <v>1387</v>
      </c>
      <c r="F47" s="9" t="s">
        <v>3605</v>
      </c>
      <c r="G47" s="9" t="s">
        <v>3606</v>
      </c>
    </row>
    <row r="48" customFormat="false" ht="27.75" hidden="false" customHeight="true" outlineLevel="0" collapsed="false">
      <c r="A48" s="9" t="s">
        <v>195</v>
      </c>
      <c r="B48" s="9" t="s">
        <v>3617</v>
      </c>
      <c r="C48" s="9" t="s">
        <v>1106</v>
      </c>
      <c r="D48" s="9" t="s">
        <v>481</v>
      </c>
      <c r="E48" s="9" t="s">
        <v>1251</v>
      </c>
      <c r="F48" s="9" t="s">
        <v>3605</v>
      </c>
      <c r="G48" s="9" t="s">
        <v>3606</v>
      </c>
    </row>
    <row r="49" customFormat="false" ht="27.75" hidden="false" customHeight="true" outlineLevel="0" collapsed="false">
      <c r="A49" s="9" t="s">
        <v>3669</v>
      </c>
      <c r="B49" s="9" t="s">
        <v>3617</v>
      </c>
      <c r="C49" s="9" t="s">
        <v>1106</v>
      </c>
      <c r="D49" s="9" t="s">
        <v>1158</v>
      </c>
      <c r="E49" s="9" t="s">
        <v>1141</v>
      </c>
      <c r="F49" s="9" t="s">
        <v>3605</v>
      </c>
      <c r="G49" s="9" t="s">
        <v>3606</v>
      </c>
    </row>
    <row r="50" customFormat="false" ht="27.75" hidden="false" customHeight="true" outlineLevel="0" collapsed="false">
      <c r="A50" s="9" t="s">
        <v>3640</v>
      </c>
      <c r="B50" s="9" t="s">
        <v>3641</v>
      </c>
      <c r="C50" s="9" t="s">
        <v>1106</v>
      </c>
      <c r="D50" s="9" t="s">
        <v>3670</v>
      </c>
      <c r="E50" s="9" t="s">
        <v>3671</v>
      </c>
      <c r="F50" s="9" t="s">
        <v>3605</v>
      </c>
      <c r="G50" s="9" t="s">
        <v>3606</v>
      </c>
    </row>
    <row r="51" customFormat="false" ht="27.75" hidden="false" customHeight="true" outlineLevel="0" collapsed="false">
      <c r="A51" s="9" t="s">
        <v>3672</v>
      </c>
      <c r="B51" s="9" t="s">
        <v>3617</v>
      </c>
      <c r="C51" s="9" t="s">
        <v>1106</v>
      </c>
      <c r="D51" s="9" t="s">
        <v>481</v>
      </c>
      <c r="E51" s="9" t="s">
        <v>1280</v>
      </c>
      <c r="F51" s="9" t="s">
        <v>3605</v>
      </c>
      <c r="G51" s="9" t="s">
        <v>3606</v>
      </c>
    </row>
    <row r="52" customFormat="false" ht="27.75" hidden="false" customHeight="true" outlineLevel="0" collapsed="false">
      <c r="A52" s="9" t="s">
        <v>3673</v>
      </c>
      <c r="B52" s="9" t="s">
        <v>3674</v>
      </c>
      <c r="C52" s="9" t="s">
        <v>1106</v>
      </c>
      <c r="D52" s="9" t="s">
        <v>481</v>
      </c>
      <c r="E52" s="9" t="s">
        <v>1490</v>
      </c>
      <c r="F52" s="9" t="s">
        <v>3605</v>
      </c>
      <c r="G52" s="9" t="s">
        <v>3606</v>
      </c>
    </row>
    <row r="53" customFormat="false" ht="27.75" hidden="false" customHeight="true" outlineLevel="0" collapsed="false">
      <c r="A53" s="9" t="s">
        <v>3675</v>
      </c>
      <c r="B53" s="9" t="s">
        <v>3627</v>
      </c>
      <c r="C53" s="9" t="s">
        <v>1106</v>
      </c>
      <c r="D53" s="9" t="s">
        <v>1419</v>
      </c>
      <c r="E53" s="9" t="s">
        <v>1407</v>
      </c>
      <c r="F53" s="9" t="s">
        <v>3605</v>
      </c>
      <c r="G53" s="9" t="s">
        <v>3606</v>
      </c>
    </row>
    <row r="54" customFormat="false" ht="27.75" hidden="false" customHeight="true" outlineLevel="0" collapsed="false">
      <c r="A54" s="9" t="s">
        <v>3676</v>
      </c>
      <c r="B54" s="9" t="s">
        <v>3677</v>
      </c>
      <c r="C54" s="9" t="s">
        <v>1106</v>
      </c>
      <c r="D54" s="9" t="s">
        <v>1110</v>
      </c>
      <c r="E54" s="9" t="s">
        <v>3678</v>
      </c>
      <c r="F54" s="9" t="s">
        <v>3605</v>
      </c>
      <c r="G54" s="9" t="s">
        <v>3606</v>
      </c>
    </row>
    <row r="55" customFormat="false" ht="27.75" hidden="false" customHeight="true" outlineLevel="0" collapsed="false">
      <c r="A55" s="9" t="s">
        <v>3679</v>
      </c>
      <c r="B55" s="9" t="s">
        <v>3619</v>
      </c>
      <c r="C55" s="9" t="s">
        <v>1106</v>
      </c>
      <c r="D55" s="9" t="s">
        <v>1480</v>
      </c>
      <c r="E55" s="9" t="s">
        <v>1470</v>
      </c>
      <c r="F55" s="9" t="s">
        <v>3605</v>
      </c>
      <c r="G55" s="9" t="s">
        <v>3606</v>
      </c>
    </row>
    <row r="56" customFormat="false" ht="27.75" hidden="false" customHeight="true" outlineLevel="0" collapsed="false">
      <c r="A56" s="9" t="s">
        <v>3680</v>
      </c>
      <c r="B56" s="9" t="s">
        <v>3617</v>
      </c>
      <c r="C56" s="9" t="s">
        <v>1106</v>
      </c>
      <c r="D56" s="9" t="s">
        <v>1462</v>
      </c>
      <c r="E56" s="9" t="s">
        <v>1450</v>
      </c>
      <c r="F56" s="9" t="s">
        <v>3605</v>
      </c>
      <c r="G56" s="9" t="s">
        <v>3606</v>
      </c>
    </row>
    <row r="57" customFormat="false" ht="27.75" hidden="false" customHeight="true" outlineLevel="0" collapsed="false">
      <c r="A57" s="9" t="s">
        <v>3681</v>
      </c>
      <c r="B57" s="9" t="s">
        <v>3619</v>
      </c>
      <c r="C57" s="9" t="s">
        <v>1106</v>
      </c>
      <c r="D57" s="9" t="s">
        <v>1320</v>
      </c>
      <c r="E57" s="9" t="s">
        <v>1304</v>
      </c>
      <c r="F57" s="9" t="s">
        <v>3605</v>
      </c>
      <c r="G57" s="9" t="s">
        <v>3606</v>
      </c>
    </row>
    <row r="58" customFormat="false" ht="27.75" hidden="false" customHeight="true" outlineLevel="0" collapsed="false">
      <c r="A58" s="9" t="s">
        <v>3682</v>
      </c>
      <c r="B58" s="9" t="s">
        <v>3617</v>
      </c>
      <c r="C58" s="9" t="s">
        <v>663</v>
      </c>
      <c r="D58" s="9" t="s">
        <v>481</v>
      </c>
      <c r="E58" s="9" t="s">
        <v>841</v>
      </c>
      <c r="F58" s="9" t="s">
        <v>3605</v>
      </c>
      <c r="G58" s="9" t="s">
        <v>3606</v>
      </c>
    </row>
    <row r="59" customFormat="false" ht="27.75" hidden="false" customHeight="true" outlineLevel="0" collapsed="false">
      <c r="A59" s="9" t="s">
        <v>3683</v>
      </c>
      <c r="B59" s="9" t="s">
        <v>3617</v>
      </c>
      <c r="C59" s="9" t="s">
        <v>663</v>
      </c>
      <c r="D59" s="9" t="s">
        <v>806</v>
      </c>
      <c r="E59" s="9" t="s">
        <v>790</v>
      </c>
      <c r="F59" s="9" t="s">
        <v>3605</v>
      </c>
      <c r="G59" s="9" t="s">
        <v>3606</v>
      </c>
    </row>
    <row r="60" customFormat="false" ht="27.75" hidden="false" customHeight="true" outlineLevel="0" collapsed="false">
      <c r="A60" s="9" t="s">
        <v>3684</v>
      </c>
      <c r="B60" s="9" t="s">
        <v>3604</v>
      </c>
      <c r="C60" s="9" t="s">
        <v>663</v>
      </c>
      <c r="D60" s="9" t="s">
        <v>703</v>
      </c>
      <c r="E60" s="9" t="s">
        <v>819</v>
      </c>
      <c r="F60" s="9" t="s">
        <v>3605</v>
      </c>
      <c r="G60" s="9" t="s">
        <v>3606</v>
      </c>
    </row>
    <row r="61" customFormat="false" ht="41.25" hidden="false" customHeight="true" outlineLevel="0" collapsed="false">
      <c r="A61" s="9" t="s">
        <v>3661</v>
      </c>
      <c r="B61" s="9" t="s">
        <v>3604</v>
      </c>
      <c r="C61" s="9" t="s">
        <v>663</v>
      </c>
      <c r="D61" s="9" t="s">
        <v>3685</v>
      </c>
      <c r="E61" s="9" t="s">
        <v>3686</v>
      </c>
      <c r="F61" s="9" t="s">
        <v>3605</v>
      </c>
      <c r="G61" s="9" t="s">
        <v>3606</v>
      </c>
    </row>
    <row r="62" customFormat="false" ht="27.75" hidden="false" customHeight="true" outlineLevel="0" collapsed="false">
      <c r="A62" s="9" t="s">
        <v>3687</v>
      </c>
      <c r="B62" s="9" t="s">
        <v>3617</v>
      </c>
      <c r="C62" s="9" t="s">
        <v>663</v>
      </c>
      <c r="D62" s="9" t="s">
        <v>1013</v>
      </c>
      <c r="E62" s="9" t="s">
        <v>1002</v>
      </c>
      <c r="F62" s="9" t="s">
        <v>3605</v>
      </c>
      <c r="G62" s="9" t="s">
        <v>3606</v>
      </c>
    </row>
    <row r="63" customFormat="false" ht="27.75" hidden="false" customHeight="true" outlineLevel="0" collapsed="false">
      <c r="A63" s="9" t="s">
        <v>3688</v>
      </c>
      <c r="B63" s="9" t="s">
        <v>3617</v>
      </c>
      <c r="C63" s="9" t="s">
        <v>663</v>
      </c>
      <c r="D63" s="9" t="s">
        <v>481</v>
      </c>
      <c r="E63" s="9" t="s">
        <v>921</v>
      </c>
      <c r="F63" s="9" t="s">
        <v>3605</v>
      </c>
      <c r="G63" s="9" t="s">
        <v>3606</v>
      </c>
    </row>
    <row r="64" customFormat="false" ht="27.75" hidden="false" customHeight="true" outlineLevel="0" collapsed="false">
      <c r="A64" s="9" t="s">
        <v>3689</v>
      </c>
      <c r="B64" s="9" t="s">
        <v>3617</v>
      </c>
      <c r="C64" s="9" t="s">
        <v>663</v>
      </c>
      <c r="D64" s="9" t="s">
        <v>883</v>
      </c>
      <c r="E64" s="9" t="s">
        <v>865</v>
      </c>
      <c r="F64" s="9" t="s">
        <v>3605</v>
      </c>
      <c r="G64" s="9" t="s">
        <v>3606</v>
      </c>
    </row>
    <row r="65" customFormat="false" ht="27.75" hidden="false" customHeight="true" outlineLevel="0" collapsed="false">
      <c r="A65" s="9" t="s">
        <v>3690</v>
      </c>
      <c r="B65" s="9" t="s">
        <v>3617</v>
      </c>
      <c r="C65" s="9" t="s">
        <v>663</v>
      </c>
      <c r="D65" s="9" t="s">
        <v>748</v>
      </c>
      <c r="E65" s="9" t="s">
        <v>976</v>
      </c>
      <c r="F65" s="9" t="s">
        <v>3605</v>
      </c>
      <c r="G65" s="9" t="s">
        <v>3606</v>
      </c>
    </row>
    <row r="66" customFormat="false" ht="27.75" hidden="false" customHeight="true" outlineLevel="0" collapsed="false">
      <c r="A66" s="9" t="s">
        <v>3691</v>
      </c>
      <c r="B66" s="9" t="s">
        <v>3692</v>
      </c>
      <c r="C66" s="9" t="s">
        <v>663</v>
      </c>
      <c r="D66" s="9" t="s">
        <v>481</v>
      </c>
      <c r="E66" s="9" t="s">
        <v>921</v>
      </c>
      <c r="F66" s="9" t="s">
        <v>3605</v>
      </c>
      <c r="G66" s="9" t="s">
        <v>3606</v>
      </c>
    </row>
    <row r="67" customFormat="false" ht="27.75" hidden="false" customHeight="true" outlineLevel="0" collapsed="false">
      <c r="A67" s="9" t="s">
        <v>2777</v>
      </c>
      <c r="B67" s="9" t="s">
        <v>3693</v>
      </c>
      <c r="C67" s="9" t="s">
        <v>663</v>
      </c>
      <c r="D67" s="9" t="s">
        <v>748</v>
      </c>
      <c r="E67" s="9" t="s">
        <v>976</v>
      </c>
      <c r="F67" s="9" t="s">
        <v>3605</v>
      </c>
      <c r="G67" s="9" t="s">
        <v>3606</v>
      </c>
    </row>
    <row r="68" customFormat="false" ht="27.75" hidden="false" customHeight="true" outlineLevel="0" collapsed="false">
      <c r="A68" s="9" t="s">
        <v>3694</v>
      </c>
      <c r="B68" s="9" t="s">
        <v>3693</v>
      </c>
      <c r="C68" s="9" t="s">
        <v>663</v>
      </c>
      <c r="D68" s="9" t="s">
        <v>748</v>
      </c>
      <c r="E68" s="9" t="s">
        <v>729</v>
      </c>
      <c r="F68" s="9" t="s">
        <v>3605</v>
      </c>
      <c r="G68" s="9" t="s">
        <v>3606</v>
      </c>
    </row>
    <row r="69" customFormat="false" ht="27.75" hidden="false" customHeight="true" outlineLevel="0" collapsed="false">
      <c r="A69" s="9" t="s">
        <v>3695</v>
      </c>
      <c r="B69" s="9" t="s">
        <v>3617</v>
      </c>
      <c r="C69" s="9" t="s">
        <v>663</v>
      </c>
      <c r="D69" s="9" t="s">
        <v>883</v>
      </c>
      <c r="E69" s="9" t="s">
        <v>865</v>
      </c>
      <c r="F69" s="9" t="s">
        <v>3605</v>
      </c>
      <c r="G69" s="9" t="s">
        <v>3606</v>
      </c>
    </row>
    <row r="70" customFormat="false" ht="27.75" hidden="false" customHeight="true" outlineLevel="0" collapsed="false">
      <c r="A70" s="9" t="s">
        <v>3696</v>
      </c>
      <c r="B70" s="9" t="s">
        <v>3697</v>
      </c>
      <c r="C70" s="9" t="s">
        <v>663</v>
      </c>
      <c r="D70" s="9" t="s">
        <v>703</v>
      </c>
      <c r="E70" s="9" t="s">
        <v>819</v>
      </c>
      <c r="F70" s="9" t="s">
        <v>3605</v>
      </c>
      <c r="G70" s="9" t="s">
        <v>3606</v>
      </c>
    </row>
    <row r="71" customFormat="false" ht="27.75" hidden="false" customHeight="true" outlineLevel="0" collapsed="false">
      <c r="A71" s="9" t="s">
        <v>3698</v>
      </c>
      <c r="B71" s="9" t="s">
        <v>3697</v>
      </c>
      <c r="C71" s="9" t="s">
        <v>663</v>
      </c>
      <c r="D71" s="9" t="s">
        <v>703</v>
      </c>
      <c r="E71" s="9" t="s">
        <v>699</v>
      </c>
      <c r="F71" s="9" t="s">
        <v>3605</v>
      </c>
      <c r="G71" s="9" t="s">
        <v>3606</v>
      </c>
    </row>
    <row r="72" customFormat="false" ht="27.75" hidden="false" customHeight="true" outlineLevel="0" collapsed="false">
      <c r="A72" s="9" t="s">
        <v>3699</v>
      </c>
      <c r="B72" s="9" t="s">
        <v>3617</v>
      </c>
      <c r="C72" s="9" t="s">
        <v>663</v>
      </c>
      <c r="D72" s="9" t="s">
        <v>1076</v>
      </c>
      <c r="E72" s="9" t="s">
        <v>1066</v>
      </c>
      <c r="F72" s="9" t="s">
        <v>3605</v>
      </c>
      <c r="G72" s="9" t="s">
        <v>3606</v>
      </c>
    </row>
    <row r="73" customFormat="false" ht="27.75" hidden="false" customHeight="true" outlineLevel="0" collapsed="false">
      <c r="A73" s="9" t="s">
        <v>3700</v>
      </c>
      <c r="B73" s="9" t="s">
        <v>3617</v>
      </c>
      <c r="C73" s="9" t="s">
        <v>663</v>
      </c>
      <c r="D73" s="9" t="s">
        <v>964</v>
      </c>
      <c r="E73" s="9" t="s">
        <v>947</v>
      </c>
      <c r="F73" s="9" t="s">
        <v>3605</v>
      </c>
      <c r="G73" s="9" t="s">
        <v>3606</v>
      </c>
    </row>
    <row r="74" customFormat="false" ht="27.75" hidden="false" customHeight="true" outlineLevel="0" collapsed="false">
      <c r="A74" s="9" t="s">
        <v>3701</v>
      </c>
      <c r="B74" s="9" t="s">
        <v>3617</v>
      </c>
      <c r="C74" s="9" t="s">
        <v>663</v>
      </c>
      <c r="D74" s="9" t="s">
        <v>667</v>
      </c>
      <c r="E74" s="9" t="s">
        <v>895</v>
      </c>
      <c r="F74" s="9" t="s">
        <v>3605</v>
      </c>
      <c r="G74" s="9" t="s">
        <v>3606</v>
      </c>
    </row>
    <row r="75" customFormat="false" ht="27.75" hidden="false" customHeight="true" outlineLevel="0" collapsed="false">
      <c r="A75" s="9" t="s">
        <v>3702</v>
      </c>
      <c r="B75" s="9" t="s">
        <v>3604</v>
      </c>
      <c r="C75" s="9" t="s">
        <v>663</v>
      </c>
      <c r="D75" s="9" t="s">
        <v>1076</v>
      </c>
      <c r="E75" s="9" t="s">
        <v>1066</v>
      </c>
      <c r="F75" s="9" t="s">
        <v>3605</v>
      </c>
      <c r="G75" s="9" t="s">
        <v>3606</v>
      </c>
    </row>
    <row r="76" customFormat="false" ht="27.75" hidden="false" customHeight="true" outlineLevel="0" collapsed="false">
      <c r="A76" s="9" t="s">
        <v>3703</v>
      </c>
      <c r="B76" s="9" t="s">
        <v>3704</v>
      </c>
      <c r="C76" s="9" t="s">
        <v>663</v>
      </c>
      <c r="D76" s="9" t="s">
        <v>964</v>
      </c>
      <c r="E76" s="9" t="s">
        <v>947</v>
      </c>
      <c r="F76" s="9" t="s">
        <v>3605</v>
      </c>
      <c r="G76" s="9" t="s">
        <v>3606</v>
      </c>
    </row>
    <row r="77" customFormat="false" ht="27.75" hidden="false" customHeight="true" outlineLevel="0" collapsed="false">
      <c r="A77" s="9" t="s">
        <v>3705</v>
      </c>
      <c r="B77" s="9" t="s">
        <v>3617</v>
      </c>
      <c r="C77" s="9" t="s">
        <v>663</v>
      </c>
      <c r="D77" s="9" t="s">
        <v>481</v>
      </c>
      <c r="E77" s="9" t="s">
        <v>760</v>
      </c>
      <c r="F77" s="9" t="s">
        <v>3605</v>
      </c>
      <c r="G77" s="9" t="s">
        <v>3606</v>
      </c>
    </row>
    <row r="78" customFormat="false" ht="27.75" hidden="false" customHeight="true" outlineLevel="0" collapsed="false">
      <c r="A78" s="9" t="s">
        <v>3706</v>
      </c>
      <c r="B78" s="9" t="s">
        <v>3617</v>
      </c>
      <c r="C78" s="9" t="s">
        <v>663</v>
      </c>
      <c r="D78" s="9" t="s">
        <v>667</v>
      </c>
      <c r="E78" s="9" t="s">
        <v>661</v>
      </c>
      <c r="F78" s="9" t="s">
        <v>3605</v>
      </c>
      <c r="G78" s="9" t="s">
        <v>3606</v>
      </c>
    </row>
    <row r="79" customFormat="false" ht="27.75" hidden="false" customHeight="true" outlineLevel="0" collapsed="false">
      <c r="A79" s="9" t="s">
        <v>3707</v>
      </c>
      <c r="B79" s="9" t="s">
        <v>3708</v>
      </c>
      <c r="C79" s="9" t="s">
        <v>663</v>
      </c>
      <c r="D79" s="9" t="s">
        <v>1056</v>
      </c>
      <c r="E79" s="9" t="s">
        <v>1044</v>
      </c>
      <c r="F79" s="9" t="s">
        <v>3605</v>
      </c>
      <c r="G79" s="9" t="s">
        <v>3606</v>
      </c>
    </row>
    <row r="80" customFormat="false" ht="27.75" hidden="false" customHeight="true" outlineLevel="0" collapsed="false">
      <c r="A80" s="9" t="s">
        <v>2489</v>
      </c>
      <c r="B80" s="9" t="s">
        <v>3627</v>
      </c>
      <c r="C80" s="9" t="s">
        <v>663</v>
      </c>
      <c r="D80" s="9" t="s">
        <v>667</v>
      </c>
      <c r="E80" s="9" t="s">
        <v>895</v>
      </c>
      <c r="F80" s="9" t="s">
        <v>3605</v>
      </c>
      <c r="G80" s="9" t="s">
        <v>3606</v>
      </c>
    </row>
    <row r="81" customFormat="false" ht="27.75" hidden="false" customHeight="true" outlineLevel="0" collapsed="false">
      <c r="A81" s="9" t="s">
        <v>3652</v>
      </c>
      <c r="B81" s="9" t="s">
        <v>3653</v>
      </c>
      <c r="C81" s="9" t="s">
        <v>663</v>
      </c>
      <c r="D81" s="9" t="s">
        <v>3709</v>
      </c>
      <c r="E81" s="9" t="s">
        <v>3710</v>
      </c>
      <c r="F81" s="9" t="s">
        <v>3605</v>
      </c>
      <c r="G81" s="9" t="s">
        <v>3606</v>
      </c>
    </row>
    <row r="82" customFormat="false" ht="27.75" hidden="false" customHeight="true" outlineLevel="0" collapsed="false">
      <c r="A82" s="9" t="s">
        <v>3711</v>
      </c>
      <c r="B82" s="9" t="s">
        <v>3617</v>
      </c>
      <c r="C82" s="9" t="s">
        <v>663</v>
      </c>
      <c r="D82" s="9" t="s">
        <v>667</v>
      </c>
      <c r="E82" s="9" t="s">
        <v>661</v>
      </c>
      <c r="F82" s="9" t="s">
        <v>3605</v>
      </c>
      <c r="G82" s="9" t="s">
        <v>3606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1" width="16"/>
    <col collapsed="false" customWidth="true" hidden="false" outlineLevel="0" max="2" min="2" style="1" width="28"/>
    <col collapsed="false" customWidth="true" hidden="false" outlineLevel="0" max="3" min="3" style="1" width="70"/>
    <col collapsed="false" customWidth="true" hidden="false" outlineLevel="0" max="4" min="4" style="1" width="40"/>
    <col collapsed="false" customWidth="true" hidden="false" outlineLevel="0" max="5" min="5" style="1" width="14"/>
  </cols>
  <sheetData>
    <row r="1" customFormat="false" ht="45" hidden="false" customHeight="true" outlineLevel="0" collapsed="false">
      <c r="A1" s="10" t="s">
        <v>94</v>
      </c>
      <c r="B1" s="10" t="s">
        <v>3712</v>
      </c>
      <c r="C1" s="10" t="s">
        <v>3713</v>
      </c>
      <c r="D1" s="10" t="s">
        <v>3714</v>
      </c>
      <c r="E1" s="10" t="s">
        <v>3715</v>
      </c>
    </row>
    <row r="2" customFormat="false" ht="27.75" hidden="false" customHeight="true" outlineLevel="0" collapsed="false">
      <c r="A2" s="9" t="s">
        <v>3716</v>
      </c>
      <c r="B2" s="9" t="s">
        <v>3717</v>
      </c>
      <c r="C2" s="9" t="s">
        <v>3718</v>
      </c>
      <c r="D2" s="9" t="s">
        <v>3719</v>
      </c>
      <c r="E2" s="9" t="s">
        <v>3720</v>
      </c>
    </row>
    <row r="3" customFormat="false" ht="27.75" hidden="false" customHeight="true" outlineLevel="0" collapsed="false">
      <c r="A3" s="9" t="s">
        <v>3716</v>
      </c>
      <c r="B3" s="9" t="s">
        <v>3721</v>
      </c>
      <c r="C3" s="9" t="s">
        <v>3722</v>
      </c>
      <c r="D3" s="9" t="s">
        <v>3723</v>
      </c>
      <c r="E3" s="9" t="s">
        <v>3724</v>
      </c>
    </row>
    <row r="4" customFormat="false" ht="15" hidden="false" customHeight="true" outlineLevel="0" collapsed="false">
      <c r="A4" s="9" t="s">
        <v>3716</v>
      </c>
      <c r="B4" s="9" t="s">
        <v>3725</v>
      </c>
      <c r="C4" s="9" t="s">
        <v>3726</v>
      </c>
      <c r="D4" s="9" t="s">
        <v>3723</v>
      </c>
      <c r="E4" s="9" t="s">
        <v>3724</v>
      </c>
    </row>
    <row r="5" customFormat="false" ht="15" hidden="false" customHeight="true" outlineLevel="0" collapsed="false">
      <c r="A5" s="9" t="s">
        <v>3716</v>
      </c>
      <c r="B5" s="9" t="s">
        <v>3727</v>
      </c>
      <c r="C5" s="9" t="s">
        <v>3728</v>
      </c>
      <c r="D5" s="9" t="s">
        <v>3723</v>
      </c>
      <c r="E5" s="9" t="s">
        <v>3724</v>
      </c>
    </row>
    <row r="6" customFormat="false" ht="15" hidden="false" customHeight="true" outlineLevel="0" collapsed="false">
      <c r="A6" s="9" t="s">
        <v>3716</v>
      </c>
      <c r="B6" s="9" t="s">
        <v>3729</v>
      </c>
      <c r="C6" s="9" t="s">
        <v>3730</v>
      </c>
      <c r="D6" s="9" t="s">
        <v>3723</v>
      </c>
      <c r="E6" s="9" t="s">
        <v>3724</v>
      </c>
    </row>
    <row r="7" customFormat="false" ht="15" hidden="false" customHeight="true" outlineLevel="0" collapsed="false">
      <c r="A7" s="9" t="s">
        <v>3166</v>
      </c>
      <c r="B7" s="9" t="s">
        <v>3731</v>
      </c>
      <c r="C7" s="9" t="s">
        <v>3732</v>
      </c>
      <c r="D7" s="9" t="s">
        <v>3733</v>
      </c>
      <c r="E7" s="9" t="s">
        <v>3734</v>
      </c>
    </row>
    <row r="8" customFormat="false" ht="15" hidden="false" customHeight="true" outlineLevel="0" collapsed="false">
      <c r="A8" s="9" t="s">
        <v>3166</v>
      </c>
      <c r="B8" s="9" t="s">
        <v>3735</v>
      </c>
      <c r="C8" s="9" t="s">
        <v>3736</v>
      </c>
      <c r="D8" s="9" t="s">
        <v>3723</v>
      </c>
      <c r="E8" s="9" t="s">
        <v>3724</v>
      </c>
    </row>
    <row r="9" customFormat="false" ht="27.75" hidden="false" customHeight="true" outlineLevel="0" collapsed="false">
      <c r="A9" s="9" t="s">
        <v>3227</v>
      </c>
      <c r="B9" s="9" t="s">
        <v>3737</v>
      </c>
      <c r="C9" s="9" t="s">
        <v>3738</v>
      </c>
      <c r="D9" s="9" t="s">
        <v>3739</v>
      </c>
      <c r="E9" s="9" t="s">
        <v>3740</v>
      </c>
    </row>
    <row r="10" customFormat="false" ht="27.75" hidden="false" customHeight="true" outlineLevel="0" collapsed="false">
      <c r="A10" s="9" t="s">
        <v>3227</v>
      </c>
      <c r="B10" s="9" t="s">
        <v>3741</v>
      </c>
      <c r="C10" s="9" t="s">
        <v>3742</v>
      </c>
      <c r="D10" s="9" t="s">
        <v>3723</v>
      </c>
      <c r="E10" s="9" t="s">
        <v>3743</v>
      </c>
    </row>
    <row r="11" customFormat="false" ht="15" hidden="false" customHeight="true" outlineLevel="0" collapsed="false">
      <c r="A11" s="9" t="s">
        <v>3227</v>
      </c>
      <c r="B11" s="9" t="s">
        <v>3744</v>
      </c>
      <c r="C11" s="9" t="s">
        <v>3745</v>
      </c>
      <c r="D11" s="9" t="s">
        <v>3723</v>
      </c>
      <c r="E11" s="9" t="s">
        <v>3743</v>
      </c>
    </row>
    <row r="12" customFormat="false" ht="27.75" hidden="false" customHeight="true" outlineLevel="0" collapsed="false">
      <c r="A12" s="9" t="s">
        <v>3288</v>
      </c>
      <c r="B12" s="9" t="s">
        <v>3746</v>
      </c>
      <c r="C12" s="9" t="s">
        <v>3747</v>
      </c>
      <c r="D12" s="9" t="s">
        <v>3723</v>
      </c>
      <c r="E12" s="9" t="s">
        <v>3724</v>
      </c>
    </row>
    <row r="13" customFormat="false" ht="15" hidden="false" customHeight="true" outlineLevel="0" collapsed="false">
      <c r="A13" s="9" t="s">
        <v>3288</v>
      </c>
      <c r="B13" s="9" t="s">
        <v>3748</v>
      </c>
      <c r="C13" s="9" t="s">
        <v>3749</v>
      </c>
      <c r="D13" s="9" t="s">
        <v>3723</v>
      </c>
      <c r="E13" s="9" t="s">
        <v>3724</v>
      </c>
    </row>
    <row r="14" customFormat="false" ht="27.75" hidden="false" customHeight="true" outlineLevel="0" collapsed="false">
      <c r="A14" s="9" t="s">
        <v>3716</v>
      </c>
      <c r="B14" s="9" t="s">
        <v>3750</v>
      </c>
      <c r="C14" s="9" t="s">
        <v>3751</v>
      </c>
      <c r="D14" s="9" t="s">
        <v>3752</v>
      </c>
      <c r="E14" s="9" t="s">
        <v>3724</v>
      </c>
    </row>
    <row r="15" customFormat="false" ht="15" hidden="false" customHeight="true" outlineLevel="0" collapsed="false">
      <c r="A15" s="9" t="s">
        <v>3716</v>
      </c>
      <c r="B15" s="9" t="s">
        <v>3753</v>
      </c>
      <c r="C15" s="9" t="s">
        <v>3754</v>
      </c>
      <c r="D15" s="9" t="s">
        <v>3752</v>
      </c>
      <c r="E15" s="9" t="s">
        <v>3724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5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1" width="16"/>
    <col collapsed="false" customWidth="true" hidden="false" outlineLevel="0" max="4" min="2" style="1" width="28"/>
    <col collapsed="false" customWidth="true" hidden="false" outlineLevel="0" max="5" min="5" style="1" width="34"/>
    <col collapsed="false" customWidth="true" hidden="false" outlineLevel="0" max="9" min="6" style="1" width="28"/>
    <col collapsed="false" customWidth="true" hidden="false" outlineLevel="0" max="10" min="10" style="1" width="50"/>
  </cols>
  <sheetData>
    <row r="1" customFormat="false" ht="45" hidden="false" customHeight="true" outlineLevel="0" collapsed="false">
      <c r="A1" s="10" t="s">
        <v>91</v>
      </c>
      <c r="B1" s="10" t="s">
        <v>3755</v>
      </c>
      <c r="C1" s="10" t="s">
        <v>3756</v>
      </c>
      <c r="D1" s="10" t="s">
        <v>3757</v>
      </c>
      <c r="E1" s="10" t="s">
        <v>3758</v>
      </c>
      <c r="F1" s="10" t="s">
        <v>3759</v>
      </c>
      <c r="G1" s="10" t="s">
        <v>3760</v>
      </c>
      <c r="H1" s="10" t="s">
        <v>3761</v>
      </c>
      <c r="I1" s="10" t="s">
        <v>3762</v>
      </c>
      <c r="J1" s="10" t="s">
        <v>3763</v>
      </c>
    </row>
    <row r="2" customFormat="false" ht="27.75" hidden="false" customHeight="true" outlineLevel="0" collapsed="false">
      <c r="A2" s="9" t="s">
        <v>153</v>
      </c>
      <c r="B2" s="9"/>
      <c r="C2" s="9"/>
      <c r="D2" s="9" t="s">
        <v>3764</v>
      </c>
      <c r="E2" s="9" t="s">
        <v>1596</v>
      </c>
      <c r="F2" s="9" t="s">
        <v>3764</v>
      </c>
      <c r="G2" s="9" t="s">
        <v>3764</v>
      </c>
      <c r="H2" s="9" t="s">
        <v>3764</v>
      </c>
      <c r="I2" s="9" t="s">
        <v>3764</v>
      </c>
      <c r="J2" s="9" t="s">
        <v>3765</v>
      </c>
    </row>
    <row r="3" customFormat="false" ht="27.75" hidden="false" customHeight="true" outlineLevel="0" collapsed="false">
      <c r="A3" s="9" t="s">
        <v>211</v>
      </c>
      <c r="B3" s="9"/>
      <c r="C3" s="9"/>
      <c r="D3" s="9" t="s">
        <v>3764</v>
      </c>
      <c r="E3" s="9" t="s">
        <v>234</v>
      </c>
      <c r="F3" s="9" t="s">
        <v>3764</v>
      </c>
      <c r="G3" s="9" t="s">
        <v>3764</v>
      </c>
      <c r="H3" s="9" t="s">
        <v>3764</v>
      </c>
      <c r="I3" s="9" t="s">
        <v>3764</v>
      </c>
      <c r="J3" s="9" t="s">
        <v>3765</v>
      </c>
    </row>
    <row r="4" customFormat="false" ht="27.75" hidden="false" customHeight="true" outlineLevel="0" collapsed="false">
      <c r="A4" s="9" t="s">
        <v>248</v>
      </c>
      <c r="B4" s="9"/>
      <c r="C4" s="9"/>
      <c r="D4" s="9" t="s">
        <v>3764</v>
      </c>
      <c r="E4" s="9" t="s">
        <v>234</v>
      </c>
      <c r="F4" s="9" t="s">
        <v>3764</v>
      </c>
      <c r="G4" s="9" t="s">
        <v>3764</v>
      </c>
      <c r="H4" s="9" t="s">
        <v>3764</v>
      </c>
      <c r="I4" s="9" t="s">
        <v>3764</v>
      </c>
      <c r="J4" s="9" t="s">
        <v>3765</v>
      </c>
    </row>
    <row r="5" customFormat="false" ht="27.75" hidden="false" customHeight="true" outlineLevel="0" collapsed="false">
      <c r="A5" s="9" t="s">
        <v>283</v>
      </c>
      <c r="B5" s="9"/>
      <c r="C5" s="9"/>
      <c r="D5" s="9" t="s">
        <v>3764</v>
      </c>
      <c r="E5" s="9" t="s">
        <v>234</v>
      </c>
      <c r="F5" s="9" t="s">
        <v>3764</v>
      </c>
      <c r="G5" s="9" t="s">
        <v>3764</v>
      </c>
      <c r="H5" s="9" t="s">
        <v>3764</v>
      </c>
      <c r="I5" s="9" t="s">
        <v>3764</v>
      </c>
      <c r="J5" s="9" t="s">
        <v>3765</v>
      </c>
    </row>
    <row r="6" customFormat="false" ht="27.75" hidden="false" customHeight="true" outlineLevel="0" collapsed="false">
      <c r="A6" s="9" t="s">
        <v>315</v>
      </c>
      <c r="B6" s="9"/>
      <c r="C6" s="9"/>
      <c r="D6" s="9" t="s">
        <v>3764</v>
      </c>
      <c r="E6" s="9" t="s">
        <v>234</v>
      </c>
      <c r="F6" s="9" t="s">
        <v>3764</v>
      </c>
      <c r="G6" s="9" t="s">
        <v>3764</v>
      </c>
      <c r="H6" s="9" t="s">
        <v>3764</v>
      </c>
      <c r="I6" s="9" t="s">
        <v>3764</v>
      </c>
      <c r="J6" s="9" t="s">
        <v>3765</v>
      </c>
    </row>
    <row r="7" customFormat="false" ht="27.75" hidden="false" customHeight="true" outlineLevel="0" collapsed="false">
      <c r="A7" s="9" t="s">
        <v>347</v>
      </c>
      <c r="B7" s="9"/>
      <c r="C7" s="9"/>
      <c r="D7" s="9" t="s">
        <v>3764</v>
      </c>
      <c r="E7" s="9" t="s">
        <v>1596</v>
      </c>
      <c r="F7" s="9" t="s">
        <v>3764</v>
      </c>
      <c r="G7" s="9" t="s">
        <v>3764</v>
      </c>
      <c r="H7" s="9" t="s">
        <v>3764</v>
      </c>
      <c r="I7" s="9" t="s">
        <v>3764</v>
      </c>
      <c r="J7" s="9" t="s">
        <v>3765</v>
      </c>
    </row>
    <row r="8" customFormat="false" ht="27.75" hidden="false" customHeight="true" outlineLevel="0" collapsed="false">
      <c r="A8" s="9" t="s">
        <v>375</v>
      </c>
      <c r="B8" s="9"/>
      <c r="C8" s="9"/>
      <c r="D8" s="9" t="s">
        <v>3764</v>
      </c>
      <c r="E8" s="9" t="s">
        <v>234</v>
      </c>
      <c r="F8" s="9" t="s">
        <v>3764</v>
      </c>
      <c r="G8" s="9" t="s">
        <v>3764</v>
      </c>
      <c r="H8" s="9" t="s">
        <v>3764</v>
      </c>
      <c r="I8" s="9" t="s">
        <v>3764</v>
      </c>
      <c r="J8" s="9" t="s">
        <v>3765</v>
      </c>
    </row>
    <row r="9" customFormat="false" ht="27.75" hidden="false" customHeight="true" outlineLevel="0" collapsed="false">
      <c r="A9" s="9" t="s">
        <v>402</v>
      </c>
      <c r="B9" s="9"/>
      <c r="C9" s="9"/>
      <c r="D9" s="9" t="s">
        <v>3764</v>
      </c>
      <c r="E9" s="9" t="s">
        <v>234</v>
      </c>
      <c r="F9" s="9" t="s">
        <v>3764</v>
      </c>
      <c r="G9" s="9" t="s">
        <v>3764</v>
      </c>
      <c r="H9" s="9" t="s">
        <v>3764</v>
      </c>
      <c r="I9" s="9" t="s">
        <v>3764</v>
      </c>
      <c r="J9" s="9" t="s">
        <v>3765</v>
      </c>
    </row>
    <row r="10" customFormat="false" ht="27.75" hidden="false" customHeight="true" outlineLevel="0" collapsed="false">
      <c r="A10" s="9" t="s">
        <v>435</v>
      </c>
      <c r="B10" s="9"/>
      <c r="C10" s="9"/>
      <c r="D10" s="9" t="s">
        <v>3764</v>
      </c>
      <c r="E10" s="9" t="s">
        <v>234</v>
      </c>
      <c r="F10" s="9" t="s">
        <v>3764</v>
      </c>
      <c r="G10" s="9" t="s">
        <v>3764</v>
      </c>
      <c r="H10" s="9" t="s">
        <v>3764</v>
      </c>
      <c r="I10" s="9" t="s">
        <v>3764</v>
      </c>
      <c r="J10" s="9" t="s">
        <v>3765</v>
      </c>
    </row>
    <row r="11" customFormat="false" ht="27.75" hidden="false" customHeight="true" outlineLevel="0" collapsed="false">
      <c r="A11" s="9" t="s">
        <v>465</v>
      </c>
      <c r="B11" s="9"/>
      <c r="C11" s="9"/>
      <c r="D11" s="9" t="s">
        <v>3764</v>
      </c>
      <c r="E11" s="9" t="s">
        <v>1596</v>
      </c>
      <c r="F11" s="9" t="s">
        <v>3764</v>
      </c>
      <c r="G11" s="9" t="s">
        <v>3764</v>
      </c>
      <c r="H11" s="9" t="s">
        <v>3764</v>
      </c>
      <c r="I11" s="9" t="s">
        <v>3764</v>
      </c>
      <c r="J11" s="9" t="s">
        <v>3765</v>
      </c>
    </row>
    <row r="12" customFormat="false" ht="27.75" hidden="false" customHeight="true" outlineLevel="0" collapsed="false">
      <c r="A12" s="9" t="s">
        <v>495</v>
      </c>
      <c r="B12" s="9"/>
      <c r="C12" s="9"/>
      <c r="D12" s="9" t="s">
        <v>3764</v>
      </c>
      <c r="E12" s="9" t="s">
        <v>1596</v>
      </c>
      <c r="F12" s="9" t="s">
        <v>3764</v>
      </c>
      <c r="G12" s="9" t="s">
        <v>3764</v>
      </c>
      <c r="H12" s="9" t="s">
        <v>3764</v>
      </c>
      <c r="I12" s="9" t="s">
        <v>3764</v>
      </c>
      <c r="J12" s="9" t="s">
        <v>3765</v>
      </c>
    </row>
    <row r="13" customFormat="false" ht="27.75" hidden="false" customHeight="true" outlineLevel="0" collapsed="false">
      <c r="A13" s="9" t="s">
        <v>522</v>
      </c>
      <c r="B13" s="9"/>
      <c r="C13" s="9"/>
      <c r="D13" s="9" t="s">
        <v>3764</v>
      </c>
      <c r="E13" s="9" t="s">
        <v>1596</v>
      </c>
      <c r="F13" s="9" t="s">
        <v>3764</v>
      </c>
      <c r="G13" s="9" t="s">
        <v>3764</v>
      </c>
      <c r="H13" s="9" t="s">
        <v>3764</v>
      </c>
      <c r="I13" s="9" t="s">
        <v>3764</v>
      </c>
      <c r="J13" s="9" t="s">
        <v>3765</v>
      </c>
    </row>
    <row r="14" customFormat="false" ht="27.75" hidden="false" customHeight="true" outlineLevel="0" collapsed="false">
      <c r="A14" s="9" t="s">
        <v>551</v>
      </c>
      <c r="B14" s="9"/>
      <c r="C14" s="9"/>
      <c r="D14" s="9" t="s">
        <v>3764</v>
      </c>
      <c r="E14" s="9" t="s">
        <v>1596</v>
      </c>
      <c r="F14" s="9" t="s">
        <v>3764</v>
      </c>
      <c r="G14" s="9" t="s">
        <v>3764</v>
      </c>
      <c r="H14" s="9" t="s">
        <v>3764</v>
      </c>
      <c r="I14" s="9" t="s">
        <v>3764</v>
      </c>
      <c r="J14" s="9" t="s">
        <v>3765</v>
      </c>
    </row>
    <row r="15" customFormat="false" ht="27.75" hidden="false" customHeight="true" outlineLevel="0" collapsed="false">
      <c r="A15" s="9" t="s">
        <v>578</v>
      </c>
      <c r="B15" s="9"/>
      <c r="C15" s="9"/>
      <c r="D15" s="9" t="s">
        <v>3764</v>
      </c>
      <c r="E15" s="9" t="s">
        <v>1596</v>
      </c>
      <c r="F15" s="9" t="s">
        <v>3764</v>
      </c>
      <c r="G15" s="9" t="s">
        <v>3764</v>
      </c>
      <c r="H15" s="9" t="s">
        <v>3764</v>
      </c>
      <c r="I15" s="9" t="s">
        <v>3764</v>
      </c>
      <c r="J15" s="9" t="s">
        <v>3765</v>
      </c>
    </row>
    <row r="16" customFormat="false" ht="27.75" hidden="false" customHeight="true" outlineLevel="0" collapsed="false">
      <c r="A16" s="9" t="s">
        <v>596</v>
      </c>
      <c r="B16" s="9"/>
      <c r="C16" s="9"/>
      <c r="D16" s="9" t="s">
        <v>3764</v>
      </c>
      <c r="E16" s="9" t="s">
        <v>1596</v>
      </c>
      <c r="F16" s="9" t="s">
        <v>3764</v>
      </c>
      <c r="G16" s="9" t="s">
        <v>3764</v>
      </c>
      <c r="H16" s="9" t="s">
        <v>3764</v>
      </c>
      <c r="I16" s="9" t="s">
        <v>3764</v>
      </c>
      <c r="J16" s="9" t="s">
        <v>3765</v>
      </c>
    </row>
    <row r="17" customFormat="false" ht="27.75" hidden="false" customHeight="true" outlineLevel="0" collapsed="false">
      <c r="A17" s="9" t="s">
        <v>620</v>
      </c>
      <c r="B17" s="9"/>
      <c r="C17" s="9"/>
      <c r="D17" s="9" t="s">
        <v>3764</v>
      </c>
      <c r="E17" s="9" t="s">
        <v>1596</v>
      </c>
      <c r="F17" s="9" t="s">
        <v>3764</v>
      </c>
      <c r="G17" s="9" t="s">
        <v>3764</v>
      </c>
      <c r="H17" s="9" t="s">
        <v>3764</v>
      </c>
      <c r="I17" s="9" t="s">
        <v>3764</v>
      </c>
      <c r="J17" s="9" t="s">
        <v>3765</v>
      </c>
    </row>
    <row r="18" customFormat="false" ht="27.75" hidden="false" customHeight="true" outlineLevel="0" collapsed="false">
      <c r="A18" s="9" t="s">
        <v>637</v>
      </c>
      <c r="B18" s="9"/>
      <c r="C18" s="9"/>
      <c r="D18" s="9" t="s">
        <v>3764</v>
      </c>
      <c r="E18" s="9" t="s">
        <v>1596</v>
      </c>
      <c r="F18" s="9" t="s">
        <v>3764</v>
      </c>
      <c r="G18" s="9" t="s">
        <v>3764</v>
      </c>
      <c r="H18" s="9" t="s">
        <v>3764</v>
      </c>
      <c r="I18" s="9" t="s">
        <v>3764</v>
      </c>
      <c r="J18" s="9" t="s">
        <v>3765</v>
      </c>
    </row>
    <row r="19" customFormat="false" ht="27.75" hidden="false" customHeight="true" outlineLevel="0" collapsed="false">
      <c r="A19" s="9" t="s">
        <v>661</v>
      </c>
      <c r="B19" s="9"/>
      <c r="C19" s="9"/>
      <c r="D19" s="9" t="s">
        <v>3764</v>
      </c>
      <c r="E19" s="9" t="s">
        <v>234</v>
      </c>
      <c r="F19" s="9" t="s">
        <v>3764</v>
      </c>
      <c r="G19" s="9" t="s">
        <v>3764</v>
      </c>
      <c r="H19" s="9" t="s">
        <v>3764</v>
      </c>
      <c r="I19" s="9" t="s">
        <v>3764</v>
      </c>
      <c r="J19" s="9" t="s">
        <v>3765</v>
      </c>
    </row>
    <row r="20" customFormat="false" ht="27.75" hidden="false" customHeight="true" outlineLevel="0" collapsed="false">
      <c r="A20" s="9" t="s">
        <v>699</v>
      </c>
      <c r="B20" s="9"/>
      <c r="C20" s="9"/>
      <c r="D20" s="9" t="s">
        <v>3764</v>
      </c>
      <c r="E20" s="9" t="s">
        <v>234</v>
      </c>
      <c r="F20" s="9" t="s">
        <v>3764</v>
      </c>
      <c r="G20" s="9" t="s">
        <v>3764</v>
      </c>
      <c r="H20" s="9" t="s">
        <v>3764</v>
      </c>
      <c r="I20" s="9" t="s">
        <v>3764</v>
      </c>
      <c r="J20" s="9" t="s">
        <v>3765</v>
      </c>
    </row>
    <row r="21" customFormat="false" ht="27.75" hidden="false" customHeight="true" outlineLevel="0" collapsed="false">
      <c r="A21" s="9" t="s">
        <v>729</v>
      </c>
      <c r="B21" s="9"/>
      <c r="C21" s="9"/>
      <c r="D21" s="9" t="s">
        <v>3764</v>
      </c>
      <c r="E21" s="9" t="s">
        <v>234</v>
      </c>
      <c r="F21" s="9" t="s">
        <v>3764</v>
      </c>
      <c r="G21" s="9" t="s">
        <v>3764</v>
      </c>
      <c r="H21" s="9" t="s">
        <v>3764</v>
      </c>
      <c r="I21" s="9" t="s">
        <v>3764</v>
      </c>
      <c r="J21" s="9" t="s">
        <v>3765</v>
      </c>
    </row>
    <row r="22" customFormat="false" ht="27.75" hidden="false" customHeight="true" outlineLevel="0" collapsed="false">
      <c r="A22" s="9" t="s">
        <v>760</v>
      </c>
      <c r="B22" s="9"/>
      <c r="C22" s="9"/>
      <c r="D22" s="9" t="s">
        <v>3764</v>
      </c>
      <c r="E22" s="9" t="s">
        <v>1596</v>
      </c>
      <c r="F22" s="9" t="s">
        <v>3764</v>
      </c>
      <c r="G22" s="9" t="s">
        <v>3764</v>
      </c>
      <c r="H22" s="9" t="s">
        <v>3764</v>
      </c>
      <c r="I22" s="9" t="s">
        <v>3764</v>
      </c>
      <c r="J22" s="9" t="s">
        <v>3765</v>
      </c>
    </row>
    <row r="23" customFormat="false" ht="27.75" hidden="false" customHeight="true" outlineLevel="0" collapsed="false">
      <c r="A23" s="9" t="s">
        <v>790</v>
      </c>
      <c r="B23" s="9"/>
      <c r="C23" s="9"/>
      <c r="D23" s="9" t="s">
        <v>3764</v>
      </c>
      <c r="E23" s="9" t="s">
        <v>234</v>
      </c>
      <c r="F23" s="9" t="s">
        <v>3764</v>
      </c>
      <c r="G23" s="9" t="s">
        <v>3764</v>
      </c>
      <c r="H23" s="9" t="s">
        <v>3764</v>
      </c>
      <c r="I23" s="9" t="s">
        <v>3764</v>
      </c>
      <c r="J23" s="9" t="s">
        <v>3765</v>
      </c>
    </row>
    <row r="24" customFormat="false" ht="27.75" hidden="false" customHeight="true" outlineLevel="0" collapsed="false">
      <c r="A24" s="9" t="s">
        <v>819</v>
      </c>
      <c r="B24" s="9"/>
      <c r="C24" s="9"/>
      <c r="D24" s="9" t="s">
        <v>3764</v>
      </c>
      <c r="E24" s="9" t="s">
        <v>234</v>
      </c>
      <c r="F24" s="9" t="s">
        <v>3764</v>
      </c>
      <c r="G24" s="9" t="s">
        <v>3764</v>
      </c>
      <c r="H24" s="9" t="s">
        <v>3764</v>
      </c>
      <c r="I24" s="9" t="s">
        <v>3764</v>
      </c>
      <c r="J24" s="9" t="s">
        <v>3765</v>
      </c>
    </row>
    <row r="25" customFormat="false" ht="27.75" hidden="false" customHeight="true" outlineLevel="0" collapsed="false">
      <c r="A25" s="9" t="s">
        <v>841</v>
      </c>
      <c r="B25" s="9"/>
      <c r="C25" s="9"/>
      <c r="D25" s="9" t="s">
        <v>3764</v>
      </c>
      <c r="E25" s="9" t="s">
        <v>1596</v>
      </c>
      <c r="F25" s="9" t="s">
        <v>3764</v>
      </c>
      <c r="G25" s="9" t="s">
        <v>3764</v>
      </c>
      <c r="H25" s="9" t="s">
        <v>3764</v>
      </c>
      <c r="I25" s="9" t="s">
        <v>3764</v>
      </c>
      <c r="J25" s="9" t="s">
        <v>3765</v>
      </c>
    </row>
    <row r="26" customFormat="false" ht="27.75" hidden="false" customHeight="true" outlineLevel="0" collapsed="false">
      <c r="A26" s="9" t="s">
        <v>865</v>
      </c>
      <c r="B26" s="9"/>
      <c r="C26" s="9"/>
      <c r="D26" s="9" t="s">
        <v>3764</v>
      </c>
      <c r="E26" s="9" t="s">
        <v>234</v>
      </c>
      <c r="F26" s="9" t="s">
        <v>3764</v>
      </c>
      <c r="G26" s="9" t="s">
        <v>3764</v>
      </c>
      <c r="H26" s="9" t="s">
        <v>3764</v>
      </c>
      <c r="I26" s="9" t="s">
        <v>3764</v>
      </c>
      <c r="J26" s="9" t="s">
        <v>3765</v>
      </c>
    </row>
    <row r="27" customFormat="false" ht="27.75" hidden="false" customHeight="true" outlineLevel="0" collapsed="false">
      <c r="A27" s="9" t="s">
        <v>895</v>
      </c>
      <c r="B27" s="9"/>
      <c r="C27" s="9"/>
      <c r="D27" s="9" t="s">
        <v>3764</v>
      </c>
      <c r="E27" s="9" t="s">
        <v>234</v>
      </c>
      <c r="F27" s="9" t="s">
        <v>3764</v>
      </c>
      <c r="G27" s="9" t="s">
        <v>3764</v>
      </c>
      <c r="H27" s="9" t="s">
        <v>3764</v>
      </c>
      <c r="I27" s="9" t="s">
        <v>3764</v>
      </c>
      <c r="J27" s="9" t="s">
        <v>3765</v>
      </c>
    </row>
    <row r="28" customFormat="false" ht="27.75" hidden="false" customHeight="true" outlineLevel="0" collapsed="false">
      <c r="A28" s="9" t="s">
        <v>921</v>
      </c>
      <c r="B28" s="9"/>
      <c r="C28" s="9"/>
      <c r="D28" s="9" t="s">
        <v>3764</v>
      </c>
      <c r="E28" s="9" t="s">
        <v>1596</v>
      </c>
      <c r="F28" s="9" t="s">
        <v>3764</v>
      </c>
      <c r="G28" s="9" t="s">
        <v>3764</v>
      </c>
      <c r="H28" s="9" t="s">
        <v>3764</v>
      </c>
      <c r="I28" s="9" t="s">
        <v>3764</v>
      </c>
      <c r="J28" s="9" t="s">
        <v>3765</v>
      </c>
    </row>
    <row r="29" customFormat="false" ht="27.75" hidden="false" customHeight="true" outlineLevel="0" collapsed="false">
      <c r="A29" s="9" t="s">
        <v>947</v>
      </c>
      <c r="B29" s="9"/>
      <c r="C29" s="9"/>
      <c r="D29" s="9" t="s">
        <v>3764</v>
      </c>
      <c r="E29" s="9" t="s">
        <v>234</v>
      </c>
      <c r="F29" s="9" t="s">
        <v>3764</v>
      </c>
      <c r="G29" s="9" t="s">
        <v>3764</v>
      </c>
      <c r="H29" s="9" t="s">
        <v>3764</v>
      </c>
      <c r="I29" s="9" t="s">
        <v>3764</v>
      </c>
      <c r="J29" s="9" t="s">
        <v>3765</v>
      </c>
    </row>
    <row r="30" customFormat="false" ht="27.75" hidden="false" customHeight="true" outlineLevel="0" collapsed="false">
      <c r="A30" s="9" t="s">
        <v>976</v>
      </c>
      <c r="B30" s="9"/>
      <c r="C30" s="9"/>
      <c r="D30" s="9" t="s">
        <v>3764</v>
      </c>
      <c r="E30" s="9" t="s">
        <v>1596</v>
      </c>
      <c r="F30" s="9" t="s">
        <v>3764</v>
      </c>
      <c r="G30" s="9" t="s">
        <v>3764</v>
      </c>
      <c r="H30" s="9" t="s">
        <v>3764</v>
      </c>
      <c r="I30" s="9" t="s">
        <v>3764</v>
      </c>
      <c r="J30" s="9" t="s">
        <v>3765</v>
      </c>
    </row>
    <row r="31" customFormat="false" ht="27.75" hidden="false" customHeight="true" outlineLevel="0" collapsed="false">
      <c r="A31" s="9" t="s">
        <v>1002</v>
      </c>
      <c r="B31" s="9"/>
      <c r="C31" s="9"/>
      <c r="D31" s="9" t="s">
        <v>3764</v>
      </c>
      <c r="E31" s="9" t="s">
        <v>234</v>
      </c>
      <c r="F31" s="9" t="s">
        <v>3764</v>
      </c>
      <c r="G31" s="9" t="s">
        <v>3764</v>
      </c>
      <c r="H31" s="9" t="s">
        <v>3764</v>
      </c>
      <c r="I31" s="9" t="s">
        <v>3764</v>
      </c>
      <c r="J31" s="9" t="s">
        <v>3765</v>
      </c>
    </row>
    <row r="32" customFormat="false" ht="27.75" hidden="false" customHeight="true" outlineLevel="0" collapsed="false">
      <c r="A32" s="9" t="s">
        <v>1022</v>
      </c>
      <c r="B32" s="9"/>
      <c r="C32" s="9"/>
      <c r="D32" s="9" t="s">
        <v>3764</v>
      </c>
      <c r="E32" s="9" t="s">
        <v>1596</v>
      </c>
      <c r="F32" s="9" t="s">
        <v>3764</v>
      </c>
      <c r="G32" s="9" t="s">
        <v>3764</v>
      </c>
      <c r="H32" s="9" t="s">
        <v>3764</v>
      </c>
      <c r="I32" s="9" t="s">
        <v>3764</v>
      </c>
      <c r="J32" s="9" t="s">
        <v>3765</v>
      </c>
    </row>
    <row r="33" customFormat="false" ht="27.75" hidden="false" customHeight="true" outlineLevel="0" collapsed="false">
      <c r="A33" s="9" t="s">
        <v>1044</v>
      </c>
      <c r="B33" s="9"/>
      <c r="C33" s="9"/>
      <c r="D33" s="9" t="s">
        <v>3764</v>
      </c>
      <c r="E33" s="9" t="s">
        <v>1596</v>
      </c>
      <c r="F33" s="9" t="s">
        <v>3764</v>
      </c>
      <c r="G33" s="9" t="s">
        <v>3764</v>
      </c>
      <c r="H33" s="9" t="s">
        <v>3764</v>
      </c>
      <c r="I33" s="9" t="s">
        <v>3764</v>
      </c>
      <c r="J33" s="9" t="s">
        <v>3765</v>
      </c>
    </row>
    <row r="34" customFormat="false" ht="27.75" hidden="false" customHeight="true" outlineLevel="0" collapsed="false">
      <c r="A34" s="9" t="s">
        <v>1066</v>
      </c>
      <c r="B34" s="9"/>
      <c r="C34" s="9"/>
      <c r="D34" s="9" t="s">
        <v>3764</v>
      </c>
      <c r="E34" s="9" t="s">
        <v>1596</v>
      </c>
      <c r="F34" s="9" t="s">
        <v>3764</v>
      </c>
      <c r="G34" s="9" t="s">
        <v>3764</v>
      </c>
      <c r="H34" s="9" t="s">
        <v>3764</v>
      </c>
      <c r="I34" s="9" t="s">
        <v>3764</v>
      </c>
      <c r="J34" s="9" t="s">
        <v>3765</v>
      </c>
    </row>
    <row r="35" customFormat="false" ht="27.75" hidden="false" customHeight="true" outlineLevel="0" collapsed="false">
      <c r="A35" s="9" t="s">
        <v>1086</v>
      </c>
      <c r="B35" s="9"/>
      <c r="C35" s="9"/>
      <c r="D35" s="9" t="s">
        <v>3764</v>
      </c>
      <c r="E35" s="9" t="s">
        <v>1596</v>
      </c>
      <c r="F35" s="9" t="s">
        <v>3764</v>
      </c>
      <c r="G35" s="9" t="s">
        <v>3764</v>
      </c>
      <c r="H35" s="9" t="s">
        <v>3764</v>
      </c>
      <c r="I35" s="9" t="s">
        <v>3764</v>
      </c>
      <c r="J35" s="9" t="s">
        <v>3765</v>
      </c>
    </row>
    <row r="36" customFormat="false" ht="27.75" hidden="false" customHeight="true" outlineLevel="0" collapsed="false">
      <c r="A36" s="9" t="s">
        <v>1104</v>
      </c>
      <c r="B36" s="9"/>
      <c r="C36" s="9"/>
      <c r="D36" s="9" t="s">
        <v>3764</v>
      </c>
      <c r="E36" s="9" t="s">
        <v>234</v>
      </c>
      <c r="F36" s="9" t="s">
        <v>3764</v>
      </c>
      <c r="G36" s="9" t="s">
        <v>3764</v>
      </c>
      <c r="H36" s="9" t="s">
        <v>3764</v>
      </c>
      <c r="I36" s="9" t="s">
        <v>3764</v>
      </c>
      <c r="J36" s="9" t="s">
        <v>3765</v>
      </c>
    </row>
    <row r="37" customFormat="false" ht="27.75" hidden="false" customHeight="true" outlineLevel="0" collapsed="false">
      <c r="A37" s="9" t="s">
        <v>1141</v>
      </c>
      <c r="B37" s="9"/>
      <c r="C37" s="9"/>
      <c r="D37" s="9" t="s">
        <v>3764</v>
      </c>
      <c r="E37" s="9" t="s">
        <v>234</v>
      </c>
      <c r="F37" s="9" t="s">
        <v>3764</v>
      </c>
      <c r="G37" s="9" t="s">
        <v>3764</v>
      </c>
      <c r="H37" s="9" t="s">
        <v>3764</v>
      </c>
      <c r="I37" s="9" t="s">
        <v>3764</v>
      </c>
      <c r="J37" s="9" t="s">
        <v>3765</v>
      </c>
    </row>
    <row r="38" customFormat="false" ht="27.75" hidden="false" customHeight="true" outlineLevel="0" collapsed="false">
      <c r="A38" s="9" t="s">
        <v>1171</v>
      </c>
      <c r="B38" s="9"/>
      <c r="C38" s="9"/>
      <c r="D38" s="9" t="s">
        <v>3764</v>
      </c>
      <c r="E38" s="9" t="s">
        <v>234</v>
      </c>
      <c r="F38" s="9" t="s">
        <v>3764</v>
      </c>
      <c r="G38" s="9" t="s">
        <v>3764</v>
      </c>
      <c r="H38" s="9" t="s">
        <v>3764</v>
      </c>
      <c r="I38" s="9" t="s">
        <v>3764</v>
      </c>
      <c r="J38" s="9" t="s">
        <v>3765</v>
      </c>
    </row>
    <row r="39" customFormat="false" ht="27.75" hidden="false" customHeight="true" outlineLevel="0" collapsed="false">
      <c r="A39" s="9" t="s">
        <v>1195</v>
      </c>
      <c r="B39" s="9"/>
      <c r="C39" s="9"/>
      <c r="D39" s="9" t="s">
        <v>3764</v>
      </c>
      <c r="E39" s="9" t="s">
        <v>234</v>
      </c>
      <c r="F39" s="9" t="s">
        <v>3764</v>
      </c>
      <c r="G39" s="9" t="s">
        <v>3764</v>
      </c>
      <c r="H39" s="9" t="s">
        <v>3764</v>
      </c>
      <c r="I39" s="9" t="s">
        <v>3764</v>
      </c>
      <c r="J39" s="9" t="s">
        <v>3765</v>
      </c>
    </row>
    <row r="40" customFormat="false" ht="27.75" hidden="false" customHeight="true" outlineLevel="0" collapsed="false">
      <c r="A40" s="9" t="s">
        <v>1224</v>
      </c>
      <c r="B40" s="9"/>
      <c r="C40" s="9"/>
      <c r="D40" s="9" t="s">
        <v>3764</v>
      </c>
      <c r="E40" s="9" t="s">
        <v>1596</v>
      </c>
      <c r="F40" s="9" t="s">
        <v>3764</v>
      </c>
      <c r="G40" s="9" t="s">
        <v>3764</v>
      </c>
      <c r="H40" s="9" t="s">
        <v>3764</v>
      </c>
      <c r="I40" s="9" t="s">
        <v>3764</v>
      </c>
      <c r="J40" s="9" t="s">
        <v>3765</v>
      </c>
    </row>
    <row r="41" customFormat="false" ht="27.75" hidden="false" customHeight="true" outlineLevel="0" collapsed="false">
      <c r="A41" s="9" t="s">
        <v>1251</v>
      </c>
      <c r="B41" s="9"/>
      <c r="C41" s="9"/>
      <c r="D41" s="9" t="s">
        <v>3764</v>
      </c>
      <c r="E41" s="9" t="s">
        <v>1596</v>
      </c>
      <c r="F41" s="9" t="s">
        <v>3764</v>
      </c>
      <c r="G41" s="9" t="s">
        <v>3764</v>
      </c>
      <c r="H41" s="9" t="s">
        <v>3764</v>
      </c>
      <c r="I41" s="9" t="s">
        <v>3764</v>
      </c>
      <c r="J41" s="9" t="s">
        <v>3765</v>
      </c>
    </row>
    <row r="42" customFormat="false" ht="27.75" hidden="false" customHeight="true" outlineLevel="0" collapsed="false">
      <c r="A42" s="9" t="s">
        <v>1280</v>
      </c>
      <c r="B42" s="9"/>
      <c r="C42" s="9"/>
      <c r="D42" s="9" t="s">
        <v>3764</v>
      </c>
      <c r="E42" s="9" t="s">
        <v>1596</v>
      </c>
      <c r="F42" s="9" t="s">
        <v>3764</v>
      </c>
      <c r="G42" s="9" t="s">
        <v>3764</v>
      </c>
      <c r="H42" s="9" t="s">
        <v>3764</v>
      </c>
      <c r="I42" s="9" t="s">
        <v>3764</v>
      </c>
      <c r="J42" s="9" t="s">
        <v>3765</v>
      </c>
    </row>
    <row r="43" customFormat="false" ht="27.75" hidden="false" customHeight="true" outlineLevel="0" collapsed="false">
      <c r="A43" s="9" t="s">
        <v>1304</v>
      </c>
      <c r="B43" s="9"/>
      <c r="C43" s="9"/>
      <c r="D43" s="9" t="s">
        <v>3764</v>
      </c>
      <c r="E43" s="9" t="s">
        <v>234</v>
      </c>
      <c r="F43" s="9" t="s">
        <v>3764</v>
      </c>
      <c r="G43" s="9" t="s">
        <v>3764</v>
      </c>
      <c r="H43" s="9" t="s">
        <v>3764</v>
      </c>
      <c r="I43" s="9" t="s">
        <v>3764</v>
      </c>
      <c r="J43" s="9" t="s">
        <v>3765</v>
      </c>
    </row>
    <row r="44" customFormat="false" ht="27.75" hidden="false" customHeight="true" outlineLevel="0" collapsed="false">
      <c r="A44" s="9" t="s">
        <v>1332</v>
      </c>
      <c r="B44" s="9"/>
      <c r="C44" s="9"/>
      <c r="D44" s="9" t="s">
        <v>3764</v>
      </c>
      <c r="E44" s="9" t="s">
        <v>234</v>
      </c>
      <c r="F44" s="9" t="s">
        <v>3764</v>
      </c>
      <c r="G44" s="9" t="s">
        <v>3764</v>
      </c>
      <c r="H44" s="9" t="s">
        <v>3764</v>
      </c>
      <c r="I44" s="9" t="s">
        <v>3764</v>
      </c>
      <c r="J44" s="9" t="s">
        <v>3765</v>
      </c>
    </row>
    <row r="45" customFormat="false" ht="27.75" hidden="false" customHeight="true" outlineLevel="0" collapsed="false">
      <c r="A45" s="9" t="s">
        <v>1361</v>
      </c>
      <c r="B45" s="9"/>
      <c r="C45" s="9"/>
      <c r="D45" s="9" t="s">
        <v>3764</v>
      </c>
      <c r="E45" s="9" t="s">
        <v>1596</v>
      </c>
      <c r="F45" s="9" t="s">
        <v>3764</v>
      </c>
      <c r="G45" s="9" t="s">
        <v>3764</v>
      </c>
      <c r="H45" s="9" t="s">
        <v>3764</v>
      </c>
      <c r="I45" s="9" t="s">
        <v>3764</v>
      </c>
      <c r="J45" s="9" t="s">
        <v>3765</v>
      </c>
    </row>
    <row r="46" customFormat="false" ht="27.75" hidden="false" customHeight="true" outlineLevel="0" collapsed="false">
      <c r="A46" s="9" t="s">
        <v>1387</v>
      </c>
      <c r="B46" s="9"/>
      <c r="C46" s="9"/>
      <c r="D46" s="9" t="s">
        <v>3764</v>
      </c>
      <c r="E46" s="9" t="s">
        <v>234</v>
      </c>
      <c r="F46" s="9" t="s">
        <v>3764</v>
      </c>
      <c r="G46" s="9" t="s">
        <v>3764</v>
      </c>
      <c r="H46" s="9" t="s">
        <v>3764</v>
      </c>
      <c r="I46" s="9" t="s">
        <v>3764</v>
      </c>
      <c r="J46" s="9" t="s">
        <v>3765</v>
      </c>
    </row>
    <row r="47" customFormat="false" ht="27.75" hidden="false" customHeight="true" outlineLevel="0" collapsed="false">
      <c r="A47" s="9" t="s">
        <v>1407</v>
      </c>
      <c r="B47" s="9"/>
      <c r="C47" s="9"/>
      <c r="D47" s="9" t="s">
        <v>3764</v>
      </c>
      <c r="E47" s="9" t="s">
        <v>234</v>
      </c>
      <c r="F47" s="9" t="s">
        <v>3764</v>
      </c>
      <c r="G47" s="9" t="s">
        <v>3764</v>
      </c>
      <c r="H47" s="9" t="s">
        <v>3764</v>
      </c>
      <c r="I47" s="9" t="s">
        <v>3764</v>
      </c>
      <c r="J47" s="9" t="s">
        <v>3765</v>
      </c>
    </row>
    <row r="48" customFormat="false" ht="27.75" hidden="false" customHeight="true" outlineLevel="0" collapsed="false">
      <c r="A48" s="9" t="s">
        <v>1428</v>
      </c>
      <c r="B48" s="9"/>
      <c r="C48" s="9"/>
      <c r="D48" s="9" t="s">
        <v>3764</v>
      </c>
      <c r="E48" s="9" t="s">
        <v>1596</v>
      </c>
      <c r="F48" s="9" t="s">
        <v>3764</v>
      </c>
      <c r="G48" s="9" t="s">
        <v>3764</v>
      </c>
      <c r="H48" s="9" t="s">
        <v>3764</v>
      </c>
      <c r="I48" s="9" t="s">
        <v>3764</v>
      </c>
      <c r="J48" s="9" t="s">
        <v>3765</v>
      </c>
    </row>
    <row r="49" customFormat="false" ht="27.75" hidden="false" customHeight="true" outlineLevel="0" collapsed="false">
      <c r="A49" s="9" t="s">
        <v>1450</v>
      </c>
      <c r="B49" s="9"/>
      <c r="C49" s="9"/>
      <c r="D49" s="9" t="s">
        <v>3764</v>
      </c>
      <c r="E49" s="9" t="s">
        <v>234</v>
      </c>
      <c r="F49" s="9" t="s">
        <v>3764</v>
      </c>
      <c r="G49" s="9" t="s">
        <v>3764</v>
      </c>
      <c r="H49" s="9" t="s">
        <v>3764</v>
      </c>
      <c r="I49" s="9" t="s">
        <v>3764</v>
      </c>
      <c r="J49" s="9" t="s">
        <v>3765</v>
      </c>
    </row>
    <row r="50" customFormat="false" ht="27.75" hidden="false" customHeight="true" outlineLevel="0" collapsed="false">
      <c r="A50" s="9" t="s">
        <v>1470</v>
      </c>
      <c r="B50" s="9"/>
      <c r="C50" s="9"/>
      <c r="D50" s="9" t="s">
        <v>3764</v>
      </c>
      <c r="E50" s="9" t="s">
        <v>1596</v>
      </c>
      <c r="F50" s="9" t="s">
        <v>3764</v>
      </c>
      <c r="G50" s="9" t="s">
        <v>3764</v>
      </c>
      <c r="H50" s="9" t="s">
        <v>3764</v>
      </c>
      <c r="I50" s="9" t="s">
        <v>3764</v>
      </c>
      <c r="J50" s="9" t="s">
        <v>3765</v>
      </c>
    </row>
    <row r="51" customFormat="false" ht="27.75" hidden="false" customHeight="true" outlineLevel="0" collapsed="false">
      <c r="A51" s="9" t="s">
        <v>1490</v>
      </c>
      <c r="B51" s="9"/>
      <c r="C51" s="9"/>
      <c r="D51" s="9" t="s">
        <v>3764</v>
      </c>
      <c r="E51" s="9" t="s">
        <v>1596</v>
      </c>
      <c r="F51" s="9" t="s">
        <v>3764</v>
      </c>
      <c r="G51" s="9" t="s">
        <v>3764</v>
      </c>
      <c r="H51" s="9" t="s">
        <v>3764</v>
      </c>
      <c r="I51" s="9" t="s">
        <v>3764</v>
      </c>
      <c r="J51" s="9" t="s">
        <v>3765</v>
      </c>
    </row>
  </sheetData>
  <dataValidations count="1">
    <dataValidation allowBlank="false" errorStyle="stop" operator="between" showDropDown="false" showErrorMessage="false" showInputMessage="false" sqref="I2:I51" type="list">
      <formula1>Lists!$I$2:$I$5</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1" width="10"/>
    <col collapsed="false" customWidth="true" hidden="false" outlineLevel="0" max="2" min="2" style="1" width="60"/>
    <col collapsed="false" customWidth="true" hidden="false" outlineLevel="0" max="3" min="3" style="1" width="22"/>
    <col collapsed="false" customWidth="true" hidden="false" outlineLevel="0" max="4" min="4" style="1" width="24"/>
    <col collapsed="false" customWidth="true" hidden="false" outlineLevel="0" max="6" min="5" style="1" width="50"/>
    <col collapsed="false" customWidth="true" hidden="false" outlineLevel="0" max="7" min="7" style="1" width="12"/>
    <col collapsed="false" customWidth="true" hidden="false" outlineLevel="0" max="8" min="8" style="1" width="44"/>
  </cols>
  <sheetData>
    <row r="1" customFormat="false" ht="45" hidden="false" customHeight="true" outlineLevel="0" collapsed="false">
      <c r="A1" s="10" t="s">
        <v>3766</v>
      </c>
      <c r="B1" s="10" t="s">
        <v>3767</v>
      </c>
      <c r="C1" s="10" t="s">
        <v>3768</v>
      </c>
      <c r="D1" s="10" t="s">
        <v>3769</v>
      </c>
      <c r="E1" s="10" t="s">
        <v>3770</v>
      </c>
      <c r="F1" s="10" t="s">
        <v>3771</v>
      </c>
      <c r="G1" s="10" t="s">
        <v>3772</v>
      </c>
      <c r="H1" s="10" t="s">
        <v>3773</v>
      </c>
    </row>
    <row r="2" customFormat="false" ht="41.25" hidden="false" customHeight="true" outlineLevel="0" collapsed="false">
      <c r="A2" s="9" t="s">
        <v>3774</v>
      </c>
      <c r="B2" s="9" t="s">
        <v>3775</v>
      </c>
      <c r="C2" s="9" t="s">
        <v>3776</v>
      </c>
      <c r="D2" s="9" t="s">
        <v>3777</v>
      </c>
      <c r="E2" s="13" t="s">
        <v>3778</v>
      </c>
      <c r="F2" s="9" t="s">
        <v>3779</v>
      </c>
      <c r="G2" s="9" t="s">
        <v>3419</v>
      </c>
      <c r="H2" s="9" t="s">
        <v>3780</v>
      </c>
    </row>
    <row r="3" customFormat="false" ht="27.75" hidden="false" customHeight="true" outlineLevel="0" collapsed="false">
      <c r="A3" s="9" t="s">
        <v>3781</v>
      </c>
      <c r="B3" s="9" t="s">
        <v>3782</v>
      </c>
      <c r="C3" s="9" t="s">
        <v>3783</v>
      </c>
      <c r="D3" s="9" t="s">
        <v>3784</v>
      </c>
      <c r="E3" s="13" t="s">
        <v>3785</v>
      </c>
      <c r="F3" s="9" t="s">
        <v>3779</v>
      </c>
      <c r="G3" s="9" t="s">
        <v>3419</v>
      </c>
      <c r="H3" s="9" t="s">
        <v>3786</v>
      </c>
    </row>
    <row r="4" customFormat="false" ht="27.75" hidden="false" customHeight="true" outlineLevel="0" collapsed="false">
      <c r="A4" s="9" t="s">
        <v>3787</v>
      </c>
      <c r="B4" s="9" t="s">
        <v>3788</v>
      </c>
      <c r="C4" s="9" t="s">
        <v>3776</v>
      </c>
      <c r="D4" s="9" t="s">
        <v>3789</v>
      </c>
      <c r="E4" s="13" t="s">
        <v>3790</v>
      </c>
      <c r="F4" s="9" t="s">
        <v>3791</v>
      </c>
      <c r="G4" s="9" t="s">
        <v>3419</v>
      </c>
      <c r="H4" s="9" t="s">
        <v>3792</v>
      </c>
    </row>
    <row r="5" customFormat="false" ht="41.25" hidden="false" customHeight="true" outlineLevel="0" collapsed="false">
      <c r="A5" s="9" t="s">
        <v>3793</v>
      </c>
      <c r="B5" s="9" t="s">
        <v>3794</v>
      </c>
      <c r="C5" s="9" t="s">
        <v>3776</v>
      </c>
      <c r="D5" s="9" t="s">
        <v>3795</v>
      </c>
      <c r="E5" s="9" t="s">
        <v>3796</v>
      </c>
      <c r="F5" s="9" t="s">
        <v>3797</v>
      </c>
      <c r="G5" s="9" t="s">
        <v>3419</v>
      </c>
      <c r="H5" s="9" t="s">
        <v>3798</v>
      </c>
    </row>
    <row r="6" customFormat="false" ht="27.75" hidden="false" customHeight="true" outlineLevel="0" collapsed="false">
      <c r="A6" s="9" t="s">
        <v>3799</v>
      </c>
      <c r="B6" s="9" t="s">
        <v>3800</v>
      </c>
      <c r="C6" s="9" t="s">
        <v>3776</v>
      </c>
      <c r="D6" s="9" t="s">
        <v>3801</v>
      </c>
      <c r="E6" s="9" t="s">
        <v>3796</v>
      </c>
      <c r="F6" s="9" t="s">
        <v>3802</v>
      </c>
      <c r="G6" s="9" t="s">
        <v>3419</v>
      </c>
      <c r="H6" s="9" t="s">
        <v>3803</v>
      </c>
    </row>
    <row r="7" customFormat="false" ht="27.75" hidden="false" customHeight="true" outlineLevel="0" collapsed="false">
      <c r="A7" s="9" t="s">
        <v>3804</v>
      </c>
      <c r="B7" s="9" t="s">
        <v>3805</v>
      </c>
      <c r="C7" s="9" t="s">
        <v>3806</v>
      </c>
      <c r="D7" s="9" t="s">
        <v>3807</v>
      </c>
      <c r="E7" s="9" t="s">
        <v>3796</v>
      </c>
      <c r="F7" s="9" t="s">
        <v>3802</v>
      </c>
      <c r="G7" s="9" t="s">
        <v>3419</v>
      </c>
      <c r="H7" s="9" t="s">
        <v>3808</v>
      </c>
    </row>
    <row r="8" customFormat="false" ht="27.75" hidden="false" customHeight="true" outlineLevel="0" collapsed="false">
      <c r="A8" s="9" t="s">
        <v>3743</v>
      </c>
      <c r="B8" s="9" t="s">
        <v>3809</v>
      </c>
      <c r="C8" s="9" t="s">
        <v>3810</v>
      </c>
      <c r="D8" s="9" t="s">
        <v>3811</v>
      </c>
      <c r="E8" s="9" t="s">
        <v>3796</v>
      </c>
      <c r="F8" s="9" t="s">
        <v>3812</v>
      </c>
      <c r="G8" s="9" t="s">
        <v>3419</v>
      </c>
      <c r="H8" s="9" t="s">
        <v>3813</v>
      </c>
    </row>
    <row r="9" customFormat="false" ht="27.75" hidden="false" customHeight="true" outlineLevel="0" collapsed="false">
      <c r="A9" s="9" t="s">
        <v>3814</v>
      </c>
      <c r="B9" s="9" t="s">
        <v>3815</v>
      </c>
      <c r="C9" s="9" t="s">
        <v>3816</v>
      </c>
      <c r="D9" s="9" t="s">
        <v>3817</v>
      </c>
      <c r="E9" s="9" t="s">
        <v>3796</v>
      </c>
      <c r="F9" s="9" t="s">
        <v>3818</v>
      </c>
      <c r="G9" s="9" t="s">
        <v>3419</v>
      </c>
      <c r="H9" s="9" t="s">
        <v>3819</v>
      </c>
    </row>
    <row r="10" customFormat="false" ht="15" hidden="false" customHeight="true" outlineLevel="0" collapsed="false">
      <c r="A10" s="9" t="s">
        <v>3820</v>
      </c>
      <c r="B10" s="9" t="s">
        <v>3821</v>
      </c>
      <c r="C10" s="9" t="s">
        <v>3776</v>
      </c>
      <c r="D10" s="9" t="s">
        <v>3822</v>
      </c>
      <c r="E10" s="9" t="s">
        <v>3796</v>
      </c>
      <c r="F10" s="9" t="s">
        <v>3818</v>
      </c>
      <c r="G10" s="9" t="s">
        <v>3419</v>
      </c>
      <c r="H10" s="9" t="s">
        <v>3823</v>
      </c>
    </row>
    <row r="11" customFormat="false" ht="27.75" hidden="false" customHeight="true" outlineLevel="0" collapsed="false">
      <c r="A11" s="9" t="s">
        <v>3720</v>
      </c>
      <c r="B11" s="9" t="s">
        <v>3824</v>
      </c>
      <c r="C11" s="9" t="s">
        <v>3825</v>
      </c>
      <c r="D11" s="9" t="s">
        <v>3826</v>
      </c>
      <c r="E11" s="13" t="s">
        <v>3827</v>
      </c>
      <c r="F11" s="9" t="s">
        <v>3828</v>
      </c>
      <c r="G11" s="9" t="s">
        <v>3419</v>
      </c>
      <c r="H11" s="9" t="s">
        <v>3829</v>
      </c>
    </row>
    <row r="12" customFormat="false" ht="15" hidden="false" customHeight="true" outlineLevel="0" collapsed="false">
      <c r="A12" s="9" t="s">
        <v>3740</v>
      </c>
      <c r="B12" s="9" t="s">
        <v>3830</v>
      </c>
      <c r="C12" s="9" t="s">
        <v>3831</v>
      </c>
      <c r="D12" s="9" t="s">
        <v>3832</v>
      </c>
      <c r="E12" s="9" t="s">
        <v>3796</v>
      </c>
      <c r="F12" s="9" t="s">
        <v>3818</v>
      </c>
      <c r="G12" s="9" t="s">
        <v>3419</v>
      </c>
      <c r="H12" s="9" t="s">
        <v>3833</v>
      </c>
    </row>
    <row r="13" customFormat="false" ht="27.75" hidden="false" customHeight="true" outlineLevel="0" collapsed="false">
      <c r="A13" s="9" t="s">
        <v>3834</v>
      </c>
      <c r="B13" s="9" t="s">
        <v>3835</v>
      </c>
      <c r="C13" s="9" t="s">
        <v>3836</v>
      </c>
      <c r="D13" s="9" t="s">
        <v>3837</v>
      </c>
      <c r="E13" s="9" t="s">
        <v>3838</v>
      </c>
      <c r="F13" s="9" t="s">
        <v>3839</v>
      </c>
      <c r="G13" s="9" t="s">
        <v>205</v>
      </c>
      <c r="H13" s="9" t="s">
        <v>3840</v>
      </c>
    </row>
    <row r="14" customFormat="false" ht="27.75" hidden="false" customHeight="true" outlineLevel="0" collapsed="false">
      <c r="A14" s="9" t="s">
        <v>3841</v>
      </c>
      <c r="B14" s="9" t="s">
        <v>3842</v>
      </c>
      <c r="C14" s="9" t="s">
        <v>3836</v>
      </c>
      <c r="D14" s="9" t="s">
        <v>3837</v>
      </c>
      <c r="E14" s="9" t="s">
        <v>3838</v>
      </c>
      <c r="F14" s="9" t="s">
        <v>3843</v>
      </c>
      <c r="G14" s="9" t="s">
        <v>205</v>
      </c>
      <c r="H14" s="9" t="s">
        <v>3844</v>
      </c>
    </row>
    <row r="15" customFormat="false" ht="27.75" hidden="false" customHeight="true" outlineLevel="0" collapsed="false">
      <c r="A15" s="9" t="s">
        <v>3724</v>
      </c>
      <c r="B15" s="9" t="s">
        <v>3845</v>
      </c>
      <c r="C15" s="9" t="s">
        <v>3846</v>
      </c>
      <c r="D15" s="9" t="s">
        <v>3847</v>
      </c>
      <c r="E15" s="9" t="s">
        <v>3847</v>
      </c>
      <c r="F15" s="9" t="s">
        <v>3848</v>
      </c>
      <c r="G15" s="9" t="s">
        <v>205</v>
      </c>
      <c r="H15" s="9" t="s">
        <v>3849</v>
      </c>
    </row>
  </sheetData>
  <hyperlinks>
    <hyperlink ref="E2" r:id="rId1" display="https://www.iso.org/standard/64076.html"/>
    <hyperlink ref="E3" r:id="rId2" display="https://webstore.iec.ch/en/publication/26359"/>
    <hyperlink ref="E4" r:id="rId3" display="https://www.iso.org/standard/63180.html"/>
    <hyperlink ref="E11" r:id="rId4" display="https://www.osha.gov/laws-regs/regulations/standardnumber/1910/1910.147"/>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5"/>
  </tableParts>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5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1" width="16"/>
    <col collapsed="false" customWidth="true" hidden="false" outlineLevel="0" max="2" min="2" style="1" width="24"/>
    <col collapsed="false" customWidth="true" hidden="false" outlineLevel="0" max="4" min="3" style="1" width="30"/>
    <col collapsed="false" customWidth="true" hidden="false" outlineLevel="0" max="5" min="5" style="1" width="60"/>
    <col collapsed="false" customWidth="true" hidden="false" outlineLevel="0" max="6" min="6" style="1" width="50"/>
    <col collapsed="false" customWidth="true" hidden="false" outlineLevel="0" max="7" min="7" style="1" width="24"/>
  </cols>
  <sheetData>
    <row r="1" customFormat="false" ht="45" hidden="false" customHeight="true" outlineLevel="0" collapsed="false">
      <c r="A1" s="10" t="s">
        <v>91</v>
      </c>
      <c r="B1" s="10" t="s">
        <v>3850</v>
      </c>
      <c r="C1" s="10" t="s">
        <v>3851</v>
      </c>
      <c r="D1" s="10" t="s">
        <v>75</v>
      </c>
      <c r="E1" s="10" t="s">
        <v>3852</v>
      </c>
      <c r="F1" s="10" t="s">
        <v>3853</v>
      </c>
      <c r="G1" s="10" t="s">
        <v>3854</v>
      </c>
    </row>
    <row r="2" customFormat="false" ht="41.25" hidden="false" customHeight="true" outlineLevel="0" collapsed="false">
      <c r="A2" s="9" t="s">
        <v>153</v>
      </c>
      <c r="B2" s="9" t="s">
        <v>169</v>
      </c>
      <c r="C2" s="9" t="s">
        <v>3855</v>
      </c>
      <c r="D2" s="9" t="s">
        <v>184</v>
      </c>
      <c r="E2" s="9" t="s">
        <v>185</v>
      </c>
      <c r="F2" s="9" t="s">
        <v>3856</v>
      </c>
      <c r="G2" s="9" t="s">
        <v>3857</v>
      </c>
    </row>
    <row r="3" customFormat="false" ht="27.75" hidden="false" customHeight="true" outlineLevel="0" collapsed="false">
      <c r="A3" s="9" t="s">
        <v>211</v>
      </c>
      <c r="B3" s="9" t="s">
        <v>224</v>
      </c>
      <c r="C3" s="9" t="s">
        <v>3858</v>
      </c>
      <c r="D3" s="9" t="s">
        <v>234</v>
      </c>
      <c r="E3" s="9" t="s">
        <v>235</v>
      </c>
      <c r="F3" s="9" t="s">
        <v>3859</v>
      </c>
      <c r="G3" s="9" t="s">
        <v>3860</v>
      </c>
    </row>
    <row r="4" customFormat="false" ht="27.75" hidden="false" customHeight="true" outlineLevel="0" collapsed="false">
      <c r="A4" s="9" t="s">
        <v>248</v>
      </c>
      <c r="B4" s="9" t="s">
        <v>260</v>
      </c>
      <c r="C4" s="9" t="s">
        <v>3861</v>
      </c>
      <c r="D4" s="9" t="s">
        <v>234</v>
      </c>
      <c r="E4" s="9" t="s">
        <v>235</v>
      </c>
      <c r="F4" s="9" t="s">
        <v>3859</v>
      </c>
      <c r="G4" s="9" t="s">
        <v>3860</v>
      </c>
    </row>
    <row r="5" customFormat="false" ht="27.75" hidden="false" customHeight="true" outlineLevel="0" collapsed="false">
      <c r="A5" s="9" t="s">
        <v>283</v>
      </c>
      <c r="B5" s="9" t="s">
        <v>293</v>
      </c>
      <c r="C5" s="9" t="s">
        <v>3862</v>
      </c>
      <c r="D5" s="9" t="s">
        <v>234</v>
      </c>
      <c r="E5" s="9" t="s">
        <v>235</v>
      </c>
      <c r="F5" s="9" t="s">
        <v>3859</v>
      </c>
      <c r="G5" s="9" t="s">
        <v>3860</v>
      </c>
    </row>
    <row r="6" customFormat="false" ht="27.75" hidden="false" customHeight="true" outlineLevel="0" collapsed="false">
      <c r="A6" s="9" t="s">
        <v>315</v>
      </c>
      <c r="B6" s="9" t="s">
        <v>325</v>
      </c>
      <c r="C6" s="9" t="s">
        <v>3863</v>
      </c>
      <c r="D6" s="9" t="s">
        <v>234</v>
      </c>
      <c r="E6" s="9" t="s">
        <v>235</v>
      </c>
      <c r="F6" s="9" t="s">
        <v>3859</v>
      </c>
      <c r="G6" s="9" t="s">
        <v>3860</v>
      </c>
    </row>
    <row r="7" customFormat="false" ht="54.75" hidden="false" customHeight="true" outlineLevel="0" collapsed="false">
      <c r="A7" s="9" t="s">
        <v>347</v>
      </c>
      <c r="B7" s="9" t="s">
        <v>224</v>
      </c>
      <c r="C7" s="9" t="s">
        <v>3858</v>
      </c>
      <c r="D7" s="9" t="s">
        <v>184</v>
      </c>
      <c r="E7" s="9" t="s">
        <v>362</v>
      </c>
      <c r="F7" s="9" t="s">
        <v>3864</v>
      </c>
      <c r="G7" s="9" t="s">
        <v>3857</v>
      </c>
    </row>
    <row r="8" customFormat="false" ht="27.75" hidden="false" customHeight="true" outlineLevel="0" collapsed="false">
      <c r="A8" s="9" t="s">
        <v>375</v>
      </c>
      <c r="B8" s="9" t="s">
        <v>385</v>
      </c>
      <c r="C8" s="9" t="s">
        <v>3865</v>
      </c>
      <c r="D8" s="9" t="s">
        <v>234</v>
      </c>
      <c r="E8" s="9" t="s">
        <v>235</v>
      </c>
      <c r="F8" s="9" t="s">
        <v>3859</v>
      </c>
      <c r="G8" s="9" t="s">
        <v>3860</v>
      </c>
    </row>
    <row r="9" customFormat="false" ht="27.75" hidden="false" customHeight="true" outlineLevel="0" collapsed="false">
      <c r="A9" s="9" t="s">
        <v>402</v>
      </c>
      <c r="B9" s="9" t="s">
        <v>414</v>
      </c>
      <c r="C9" s="9" t="s">
        <v>3866</v>
      </c>
      <c r="D9" s="9" t="s">
        <v>234</v>
      </c>
      <c r="E9" s="9" t="s">
        <v>235</v>
      </c>
      <c r="F9" s="9" t="s">
        <v>3859</v>
      </c>
      <c r="G9" s="9" t="s">
        <v>3860</v>
      </c>
    </row>
    <row r="10" customFormat="false" ht="27.75" hidden="false" customHeight="true" outlineLevel="0" collapsed="false">
      <c r="A10" s="9" t="s">
        <v>435</v>
      </c>
      <c r="B10" s="9" t="s">
        <v>444</v>
      </c>
      <c r="C10" s="9" t="s">
        <v>3867</v>
      </c>
      <c r="D10" s="9" t="s">
        <v>234</v>
      </c>
      <c r="E10" s="9" t="s">
        <v>235</v>
      </c>
      <c r="F10" s="9" t="s">
        <v>3859</v>
      </c>
      <c r="G10" s="9" t="s">
        <v>3860</v>
      </c>
    </row>
    <row r="11" customFormat="false" ht="27.75" hidden="false" customHeight="true" outlineLevel="0" collapsed="false">
      <c r="A11" s="9" t="s">
        <v>465</v>
      </c>
      <c r="B11" s="9" t="s">
        <v>474</v>
      </c>
      <c r="C11" s="9" t="s">
        <v>3868</v>
      </c>
      <c r="D11" s="9" t="s">
        <v>482</v>
      </c>
      <c r="E11" s="9" t="s">
        <v>483</v>
      </c>
      <c r="F11" s="9" t="s">
        <v>3864</v>
      </c>
      <c r="G11" s="9" t="s">
        <v>3857</v>
      </c>
    </row>
    <row r="12" customFormat="false" ht="27.75" hidden="false" customHeight="true" outlineLevel="0" collapsed="false">
      <c r="A12" s="9" t="s">
        <v>495</v>
      </c>
      <c r="B12" s="9" t="s">
        <v>504</v>
      </c>
      <c r="C12" s="9" t="s">
        <v>3869</v>
      </c>
      <c r="D12" s="9" t="s">
        <v>482</v>
      </c>
      <c r="E12" s="9" t="s">
        <v>483</v>
      </c>
      <c r="F12" s="9" t="s">
        <v>3864</v>
      </c>
      <c r="G12" s="9" t="s">
        <v>3857</v>
      </c>
    </row>
    <row r="13" customFormat="false" ht="27.75" hidden="false" customHeight="true" outlineLevel="0" collapsed="false">
      <c r="A13" s="9" t="s">
        <v>522</v>
      </c>
      <c r="B13" s="9" t="s">
        <v>532</v>
      </c>
      <c r="C13" s="9" t="s">
        <v>3870</v>
      </c>
      <c r="D13" s="9" t="s">
        <v>482</v>
      </c>
      <c r="E13" s="9" t="s">
        <v>483</v>
      </c>
      <c r="F13" s="9" t="s">
        <v>3864</v>
      </c>
      <c r="G13" s="9" t="s">
        <v>3857</v>
      </c>
    </row>
    <row r="14" customFormat="false" ht="41.25" hidden="false" customHeight="true" outlineLevel="0" collapsed="false">
      <c r="A14" s="9" t="s">
        <v>551</v>
      </c>
      <c r="B14" s="9" t="s">
        <v>559</v>
      </c>
      <c r="C14" s="9" t="s">
        <v>3871</v>
      </c>
      <c r="D14" s="9" t="s">
        <v>184</v>
      </c>
      <c r="E14" s="9" t="s">
        <v>568</v>
      </c>
      <c r="F14" s="9" t="s">
        <v>3864</v>
      </c>
      <c r="G14" s="9" t="s">
        <v>3857</v>
      </c>
    </row>
    <row r="15" customFormat="false" ht="41.25" hidden="false" customHeight="true" outlineLevel="0" collapsed="false">
      <c r="A15" s="9" t="s">
        <v>578</v>
      </c>
      <c r="B15" s="9" t="s">
        <v>559</v>
      </c>
      <c r="C15" s="9" t="s">
        <v>3861</v>
      </c>
      <c r="D15" s="9" t="s">
        <v>184</v>
      </c>
      <c r="E15" s="9" t="s">
        <v>587</v>
      </c>
      <c r="F15" s="9" t="s">
        <v>3864</v>
      </c>
      <c r="G15" s="9" t="s">
        <v>3857</v>
      </c>
    </row>
    <row r="16" customFormat="false" ht="41.25" hidden="false" customHeight="true" outlineLevel="0" collapsed="false">
      <c r="A16" s="9" t="s">
        <v>596</v>
      </c>
      <c r="B16" s="9" t="s">
        <v>559</v>
      </c>
      <c r="C16" s="9" t="s">
        <v>3872</v>
      </c>
      <c r="D16" s="9" t="s">
        <v>184</v>
      </c>
      <c r="E16" s="9" t="s">
        <v>610</v>
      </c>
      <c r="F16" s="9" t="s">
        <v>3864</v>
      </c>
      <c r="G16" s="9" t="s">
        <v>3857</v>
      </c>
    </row>
    <row r="17" customFormat="false" ht="41.25" hidden="false" customHeight="true" outlineLevel="0" collapsed="false">
      <c r="A17" s="9" t="s">
        <v>620</v>
      </c>
      <c r="B17" s="9" t="s">
        <v>559</v>
      </c>
      <c r="C17" s="9" t="s">
        <v>3873</v>
      </c>
      <c r="D17" s="9" t="s">
        <v>184</v>
      </c>
      <c r="E17" s="9" t="s">
        <v>628</v>
      </c>
      <c r="F17" s="9" t="s">
        <v>3864</v>
      </c>
      <c r="G17" s="9" t="s">
        <v>3857</v>
      </c>
    </row>
    <row r="18" customFormat="false" ht="41.25" hidden="false" customHeight="true" outlineLevel="0" collapsed="false">
      <c r="A18" s="9" t="s">
        <v>637</v>
      </c>
      <c r="B18" s="9" t="s">
        <v>559</v>
      </c>
      <c r="C18" s="9" t="s">
        <v>3874</v>
      </c>
      <c r="D18" s="9" t="s">
        <v>184</v>
      </c>
      <c r="E18" s="9" t="s">
        <v>652</v>
      </c>
      <c r="F18" s="9" t="s">
        <v>3864</v>
      </c>
      <c r="G18" s="9" t="s">
        <v>3857</v>
      </c>
    </row>
    <row r="19" customFormat="false" ht="27.75" hidden="false" customHeight="true" outlineLevel="0" collapsed="false">
      <c r="A19" s="9" t="s">
        <v>661</v>
      </c>
      <c r="B19" s="9" t="s">
        <v>675</v>
      </c>
      <c r="C19" s="9" t="s">
        <v>3875</v>
      </c>
      <c r="D19" s="9" t="s">
        <v>234</v>
      </c>
      <c r="E19" s="9" t="s">
        <v>235</v>
      </c>
      <c r="F19" s="9" t="s">
        <v>3859</v>
      </c>
      <c r="G19" s="9" t="s">
        <v>3860</v>
      </c>
    </row>
    <row r="20" customFormat="false" ht="27.75" hidden="false" customHeight="true" outlineLevel="0" collapsed="false">
      <c r="A20" s="9" t="s">
        <v>699</v>
      </c>
      <c r="B20" s="9" t="s">
        <v>709</v>
      </c>
      <c r="C20" s="9" t="s">
        <v>3876</v>
      </c>
      <c r="D20" s="9" t="s">
        <v>234</v>
      </c>
      <c r="E20" s="9" t="s">
        <v>235</v>
      </c>
      <c r="F20" s="9" t="s">
        <v>3859</v>
      </c>
      <c r="G20" s="9" t="s">
        <v>3860</v>
      </c>
    </row>
    <row r="21" customFormat="false" ht="27.75" hidden="false" customHeight="true" outlineLevel="0" collapsed="false">
      <c r="A21" s="9" t="s">
        <v>729</v>
      </c>
      <c r="B21" s="9" t="s">
        <v>741</v>
      </c>
      <c r="C21" s="9" t="s">
        <v>3877</v>
      </c>
      <c r="D21" s="9" t="s">
        <v>234</v>
      </c>
      <c r="E21" s="9" t="s">
        <v>235</v>
      </c>
      <c r="F21" s="9" t="s">
        <v>3859</v>
      </c>
      <c r="G21" s="9" t="s">
        <v>3860</v>
      </c>
    </row>
    <row r="22" customFormat="false" ht="27.75" hidden="false" customHeight="true" outlineLevel="0" collapsed="false">
      <c r="A22" s="9" t="s">
        <v>760</v>
      </c>
      <c r="B22" s="9" t="s">
        <v>772</v>
      </c>
      <c r="C22" s="9" t="s">
        <v>3878</v>
      </c>
      <c r="D22" s="9" t="s">
        <v>482</v>
      </c>
      <c r="E22" s="9" t="s">
        <v>483</v>
      </c>
      <c r="F22" s="9" t="s">
        <v>3864</v>
      </c>
      <c r="G22" s="9" t="s">
        <v>3857</v>
      </c>
    </row>
    <row r="23" customFormat="false" ht="27.75" hidden="false" customHeight="true" outlineLevel="0" collapsed="false">
      <c r="A23" s="9" t="s">
        <v>790</v>
      </c>
      <c r="B23" s="9" t="s">
        <v>799</v>
      </c>
      <c r="C23" s="9" t="s">
        <v>3879</v>
      </c>
      <c r="D23" s="9" t="s">
        <v>234</v>
      </c>
      <c r="E23" s="9" t="s">
        <v>235</v>
      </c>
      <c r="F23" s="9" t="s">
        <v>3859</v>
      </c>
      <c r="G23" s="9" t="s">
        <v>3860</v>
      </c>
    </row>
    <row r="24" customFormat="false" ht="27.75" hidden="false" customHeight="true" outlineLevel="0" collapsed="false">
      <c r="A24" s="9" t="s">
        <v>819</v>
      </c>
      <c r="B24" s="9" t="s">
        <v>709</v>
      </c>
      <c r="C24" s="9" t="s">
        <v>3876</v>
      </c>
      <c r="D24" s="9" t="s">
        <v>234</v>
      </c>
      <c r="E24" s="9" t="s">
        <v>235</v>
      </c>
      <c r="F24" s="9" t="s">
        <v>3859</v>
      </c>
      <c r="G24" s="9" t="s">
        <v>3860</v>
      </c>
    </row>
    <row r="25" customFormat="false" ht="27.75" hidden="false" customHeight="true" outlineLevel="0" collapsed="false">
      <c r="A25" s="9" t="s">
        <v>841</v>
      </c>
      <c r="B25" s="9" t="s">
        <v>851</v>
      </c>
      <c r="C25" s="9" t="s">
        <v>3880</v>
      </c>
      <c r="D25" s="9" t="s">
        <v>482</v>
      </c>
      <c r="E25" s="9" t="s">
        <v>483</v>
      </c>
      <c r="F25" s="9" t="s">
        <v>3864</v>
      </c>
      <c r="G25" s="9" t="s">
        <v>3857</v>
      </c>
    </row>
    <row r="26" customFormat="false" ht="27.75" hidden="false" customHeight="true" outlineLevel="0" collapsed="false">
      <c r="A26" s="9" t="s">
        <v>865</v>
      </c>
      <c r="B26" s="9" t="s">
        <v>874</v>
      </c>
      <c r="C26" s="9" t="s">
        <v>3881</v>
      </c>
      <c r="D26" s="9" t="s">
        <v>234</v>
      </c>
      <c r="E26" s="9" t="s">
        <v>235</v>
      </c>
      <c r="F26" s="9" t="s">
        <v>3859</v>
      </c>
      <c r="G26" s="9" t="s">
        <v>3860</v>
      </c>
    </row>
    <row r="27" customFormat="false" ht="27.75" hidden="false" customHeight="true" outlineLevel="0" collapsed="false">
      <c r="A27" s="9" t="s">
        <v>895</v>
      </c>
      <c r="B27" s="9" t="s">
        <v>684</v>
      </c>
      <c r="C27" s="9" t="s">
        <v>3875</v>
      </c>
      <c r="D27" s="9" t="s">
        <v>234</v>
      </c>
      <c r="E27" s="9" t="s">
        <v>235</v>
      </c>
      <c r="F27" s="9" t="s">
        <v>3859</v>
      </c>
      <c r="G27" s="9" t="s">
        <v>3860</v>
      </c>
    </row>
    <row r="28" customFormat="false" ht="27.75" hidden="false" customHeight="true" outlineLevel="0" collapsed="false">
      <c r="A28" s="9" t="s">
        <v>921</v>
      </c>
      <c r="B28" s="9" t="s">
        <v>931</v>
      </c>
      <c r="C28" s="9" t="s">
        <v>3882</v>
      </c>
      <c r="D28" s="9" t="s">
        <v>482</v>
      </c>
      <c r="E28" s="9" t="s">
        <v>483</v>
      </c>
      <c r="F28" s="9" t="s">
        <v>3864</v>
      </c>
      <c r="G28" s="9" t="s">
        <v>3857</v>
      </c>
    </row>
    <row r="29" customFormat="false" ht="27.75" hidden="false" customHeight="true" outlineLevel="0" collapsed="false">
      <c r="A29" s="9" t="s">
        <v>947</v>
      </c>
      <c r="B29" s="9" t="s">
        <v>956</v>
      </c>
      <c r="C29" s="9" t="s">
        <v>3883</v>
      </c>
      <c r="D29" s="9" t="s">
        <v>234</v>
      </c>
      <c r="E29" s="9" t="s">
        <v>235</v>
      </c>
      <c r="F29" s="9" t="s">
        <v>3859</v>
      </c>
      <c r="G29" s="9" t="s">
        <v>3860</v>
      </c>
    </row>
    <row r="30" customFormat="false" ht="41.25" hidden="false" customHeight="true" outlineLevel="0" collapsed="false">
      <c r="A30" s="9" t="s">
        <v>976</v>
      </c>
      <c r="B30" s="9" t="s">
        <v>986</v>
      </c>
      <c r="C30" s="9" t="s">
        <v>3884</v>
      </c>
      <c r="D30" s="9" t="s">
        <v>184</v>
      </c>
      <c r="E30" s="9" t="s">
        <v>990</v>
      </c>
      <c r="F30" s="9" t="s">
        <v>3864</v>
      </c>
      <c r="G30" s="9" t="s">
        <v>3857</v>
      </c>
    </row>
    <row r="31" customFormat="false" ht="27.75" hidden="false" customHeight="true" outlineLevel="0" collapsed="false">
      <c r="A31" s="9" t="s">
        <v>1002</v>
      </c>
      <c r="B31" s="9" t="s">
        <v>559</v>
      </c>
      <c r="C31" s="9" t="s">
        <v>3885</v>
      </c>
      <c r="D31" s="9" t="s">
        <v>234</v>
      </c>
      <c r="E31" s="9" t="s">
        <v>235</v>
      </c>
      <c r="F31" s="9" t="s">
        <v>3859</v>
      </c>
      <c r="G31" s="9" t="s">
        <v>3860</v>
      </c>
    </row>
    <row r="32" customFormat="false" ht="41.25" hidden="false" customHeight="true" outlineLevel="0" collapsed="false">
      <c r="A32" s="9" t="s">
        <v>1022</v>
      </c>
      <c r="B32" s="9" t="s">
        <v>559</v>
      </c>
      <c r="C32" s="9" t="s">
        <v>3886</v>
      </c>
      <c r="D32" s="9" t="s">
        <v>184</v>
      </c>
      <c r="E32" s="9" t="s">
        <v>1035</v>
      </c>
      <c r="F32" s="9" t="s">
        <v>3864</v>
      </c>
      <c r="G32" s="9" t="s">
        <v>3857</v>
      </c>
    </row>
    <row r="33" customFormat="false" ht="41.25" hidden="false" customHeight="true" outlineLevel="0" collapsed="false">
      <c r="A33" s="9" t="s">
        <v>1044</v>
      </c>
      <c r="B33" s="9" t="s">
        <v>559</v>
      </c>
      <c r="C33" s="9" t="s">
        <v>3887</v>
      </c>
      <c r="D33" s="9" t="s">
        <v>184</v>
      </c>
      <c r="E33" s="9" t="s">
        <v>1057</v>
      </c>
      <c r="F33" s="9" t="s">
        <v>3864</v>
      </c>
      <c r="G33" s="9" t="s">
        <v>3857</v>
      </c>
    </row>
    <row r="34" customFormat="false" ht="41.25" hidden="false" customHeight="true" outlineLevel="0" collapsed="false">
      <c r="A34" s="9" t="s">
        <v>1066</v>
      </c>
      <c r="B34" s="9" t="s">
        <v>559</v>
      </c>
      <c r="C34" s="9" t="s">
        <v>3888</v>
      </c>
      <c r="D34" s="9" t="s">
        <v>184</v>
      </c>
      <c r="E34" s="9" t="s">
        <v>1077</v>
      </c>
      <c r="F34" s="9" t="s">
        <v>3864</v>
      </c>
      <c r="G34" s="9" t="s">
        <v>3857</v>
      </c>
    </row>
    <row r="35" customFormat="false" ht="27.75" hidden="false" customHeight="true" outlineLevel="0" collapsed="false">
      <c r="A35" s="9" t="s">
        <v>1086</v>
      </c>
      <c r="B35" s="9" t="s">
        <v>559</v>
      </c>
      <c r="C35" s="9" t="s">
        <v>3889</v>
      </c>
      <c r="D35" s="9" t="s">
        <v>482</v>
      </c>
      <c r="E35" s="9" t="s">
        <v>483</v>
      </c>
      <c r="F35" s="9" t="s">
        <v>3864</v>
      </c>
      <c r="G35" s="9" t="s">
        <v>3857</v>
      </c>
    </row>
    <row r="36" customFormat="false" ht="27.75" hidden="false" customHeight="true" outlineLevel="0" collapsed="false">
      <c r="A36" s="9" t="s">
        <v>1104</v>
      </c>
      <c r="B36" s="9" t="s">
        <v>1118</v>
      </c>
      <c r="C36" s="9" t="s">
        <v>3890</v>
      </c>
      <c r="D36" s="9" t="s">
        <v>234</v>
      </c>
      <c r="E36" s="9" t="s">
        <v>235</v>
      </c>
      <c r="F36" s="9" t="s">
        <v>3891</v>
      </c>
      <c r="G36" s="9" t="s">
        <v>3860</v>
      </c>
    </row>
    <row r="37" customFormat="false" ht="27.75" hidden="false" customHeight="true" outlineLevel="0" collapsed="false">
      <c r="A37" s="9" t="s">
        <v>1141</v>
      </c>
      <c r="B37" s="9" t="s">
        <v>1152</v>
      </c>
      <c r="C37" s="9" t="s">
        <v>3892</v>
      </c>
      <c r="D37" s="9" t="s">
        <v>234</v>
      </c>
      <c r="E37" s="9" t="s">
        <v>235</v>
      </c>
      <c r="F37" s="9" t="s">
        <v>3859</v>
      </c>
      <c r="G37" s="9" t="s">
        <v>3860</v>
      </c>
    </row>
    <row r="38" customFormat="false" ht="27.75" hidden="false" customHeight="true" outlineLevel="0" collapsed="false">
      <c r="A38" s="9" t="s">
        <v>1171</v>
      </c>
      <c r="B38" s="9" t="s">
        <v>1152</v>
      </c>
      <c r="C38" s="9" t="s">
        <v>3892</v>
      </c>
      <c r="D38" s="9" t="s">
        <v>234</v>
      </c>
      <c r="E38" s="9" t="s">
        <v>235</v>
      </c>
      <c r="F38" s="9" t="s">
        <v>3859</v>
      </c>
      <c r="G38" s="9" t="s">
        <v>3860</v>
      </c>
    </row>
    <row r="39" customFormat="false" ht="27.75" hidden="false" customHeight="true" outlineLevel="0" collapsed="false">
      <c r="A39" s="9" t="s">
        <v>1195</v>
      </c>
      <c r="B39" s="9" t="s">
        <v>1127</v>
      </c>
      <c r="C39" s="9" t="s">
        <v>3893</v>
      </c>
      <c r="D39" s="9" t="s">
        <v>234</v>
      </c>
      <c r="E39" s="9" t="s">
        <v>235</v>
      </c>
      <c r="F39" s="9" t="s">
        <v>3859</v>
      </c>
      <c r="G39" s="9" t="s">
        <v>3860</v>
      </c>
    </row>
    <row r="40" customFormat="false" ht="54.75" hidden="false" customHeight="true" outlineLevel="0" collapsed="false">
      <c r="A40" s="9" t="s">
        <v>1224</v>
      </c>
      <c r="B40" s="9" t="s">
        <v>1234</v>
      </c>
      <c r="C40" s="9" t="s">
        <v>3894</v>
      </c>
      <c r="D40" s="9" t="s">
        <v>184</v>
      </c>
      <c r="E40" s="9" t="s">
        <v>1239</v>
      </c>
      <c r="F40" s="9" t="s">
        <v>3864</v>
      </c>
      <c r="G40" s="9" t="s">
        <v>3857</v>
      </c>
    </row>
    <row r="41" customFormat="false" ht="27.75" hidden="false" customHeight="true" outlineLevel="0" collapsed="false">
      <c r="A41" s="9" t="s">
        <v>1251</v>
      </c>
      <c r="B41" s="9" t="s">
        <v>1262</v>
      </c>
      <c r="C41" s="9" t="s">
        <v>3895</v>
      </c>
      <c r="D41" s="9" t="s">
        <v>482</v>
      </c>
      <c r="E41" s="9" t="s">
        <v>483</v>
      </c>
      <c r="F41" s="9" t="s">
        <v>3864</v>
      </c>
      <c r="G41" s="9" t="s">
        <v>3857</v>
      </c>
    </row>
    <row r="42" customFormat="false" ht="27.75" hidden="false" customHeight="true" outlineLevel="0" collapsed="false">
      <c r="A42" s="9" t="s">
        <v>1280</v>
      </c>
      <c r="B42" s="9" t="s">
        <v>1290</v>
      </c>
      <c r="C42" s="9" t="s">
        <v>3896</v>
      </c>
      <c r="D42" s="9" t="s">
        <v>482</v>
      </c>
      <c r="E42" s="9" t="s">
        <v>483</v>
      </c>
      <c r="F42" s="9" t="s">
        <v>3864</v>
      </c>
      <c r="G42" s="9" t="s">
        <v>3857</v>
      </c>
    </row>
    <row r="43" customFormat="false" ht="27.75" hidden="false" customHeight="true" outlineLevel="0" collapsed="false">
      <c r="A43" s="9" t="s">
        <v>1304</v>
      </c>
      <c r="B43" s="9" t="s">
        <v>1313</v>
      </c>
      <c r="C43" s="9" t="s">
        <v>3897</v>
      </c>
      <c r="D43" s="9" t="s">
        <v>234</v>
      </c>
      <c r="E43" s="9" t="s">
        <v>235</v>
      </c>
      <c r="F43" s="9" t="s">
        <v>3859</v>
      </c>
      <c r="G43" s="9" t="s">
        <v>3860</v>
      </c>
    </row>
    <row r="44" customFormat="false" ht="27.75" hidden="false" customHeight="true" outlineLevel="0" collapsed="false">
      <c r="A44" s="9" t="s">
        <v>1332</v>
      </c>
      <c r="B44" s="9" t="s">
        <v>1341</v>
      </c>
      <c r="C44" s="9" t="s">
        <v>3898</v>
      </c>
      <c r="D44" s="9" t="s">
        <v>234</v>
      </c>
      <c r="E44" s="9" t="s">
        <v>235</v>
      </c>
      <c r="F44" s="9" t="s">
        <v>3859</v>
      </c>
      <c r="G44" s="9" t="s">
        <v>3860</v>
      </c>
    </row>
    <row r="45" customFormat="false" ht="27.75" hidden="false" customHeight="true" outlineLevel="0" collapsed="false">
      <c r="A45" s="9" t="s">
        <v>1361</v>
      </c>
      <c r="B45" s="9" t="s">
        <v>1370</v>
      </c>
      <c r="C45" s="9" t="s">
        <v>3899</v>
      </c>
      <c r="D45" s="9" t="s">
        <v>482</v>
      </c>
      <c r="E45" s="9" t="s">
        <v>483</v>
      </c>
      <c r="F45" s="9" t="s">
        <v>3864</v>
      </c>
      <c r="G45" s="9" t="s">
        <v>3857</v>
      </c>
    </row>
    <row r="46" customFormat="false" ht="27.75" hidden="false" customHeight="true" outlineLevel="0" collapsed="false">
      <c r="A46" s="9" t="s">
        <v>1387</v>
      </c>
      <c r="B46" s="9" t="s">
        <v>559</v>
      </c>
      <c r="C46" s="9" t="s">
        <v>3900</v>
      </c>
      <c r="D46" s="9" t="s">
        <v>234</v>
      </c>
      <c r="E46" s="9" t="s">
        <v>235</v>
      </c>
      <c r="F46" s="9" t="s">
        <v>3859</v>
      </c>
      <c r="G46" s="9" t="s">
        <v>3860</v>
      </c>
    </row>
    <row r="47" customFormat="false" ht="27.75" hidden="false" customHeight="true" outlineLevel="0" collapsed="false">
      <c r="A47" s="9" t="s">
        <v>1407</v>
      </c>
      <c r="B47" s="9" t="s">
        <v>559</v>
      </c>
      <c r="C47" s="9" t="s">
        <v>3901</v>
      </c>
      <c r="D47" s="9" t="s">
        <v>234</v>
      </c>
      <c r="E47" s="9" t="s">
        <v>235</v>
      </c>
      <c r="F47" s="9" t="s">
        <v>3859</v>
      </c>
      <c r="G47" s="9" t="s">
        <v>3860</v>
      </c>
    </row>
    <row r="48" customFormat="false" ht="41.25" hidden="false" customHeight="true" outlineLevel="0" collapsed="false">
      <c r="A48" s="9" t="s">
        <v>1428</v>
      </c>
      <c r="B48" s="9" t="s">
        <v>559</v>
      </c>
      <c r="C48" s="9" t="s">
        <v>3902</v>
      </c>
      <c r="D48" s="9" t="s">
        <v>184</v>
      </c>
      <c r="E48" s="9" t="s">
        <v>1441</v>
      </c>
      <c r="F48" s="9" t="s">
        <v>3864</v>
      </c>
      <c r="G48" s="9" t="s">
        <v>3857</v>
      </c>
    </row>
    <row r="49" customFormat="false" ht="27.75" hidden="false" customHeight="true" outlineLevel="0" collapsed="false">
      <c r="A49" s="9" t="s">
        <v>1450</v>
      </c>
      <c r="B49" s="9" t="s">
        <v>559</v>
      </c>
      <c r="C49" s="9" t="s">
        <v>3903</v>
      </c>
      <c r="D49" s="9" t="s">
        <v>234</v>
      </c>
      <c r="E49" s="9" t="s">
        <v>235</v>
      </c>
      <c r="F49" s="9" t="s">
        <v>3859</v>
      </c>
      <c r="G49" s="9" t="s">
        <v>3860</v>
      </c>
    </row>
    <row r="50" customFormat="false" ht="41.25" hidden="false" customHeight="true" outlineLevel="0" collapsed="false">
      <c r="A50" s="9" t="s">
        <v>1470</v>
      </c>
      <c r="B50" s="9" t="s">
        <v>559</v>
      </c>
      <c r="C50" s="9" t="s">
        <v>3904</v>
      </c>
      <c r="D50" s="9" t="s">
        <v>184</v>
      </c>
      <c r="E50" s="9" t="s">
        <v>1481</v>
      </c>
      <c r="F50" s="9" t="s">
        <v>3864</v>
      </c>
      <c r="G50" s="9" t="s">
        <v>3857</v>
      </c>
    </row>
    <row r="51" customFormat="false" ht="27.75" hidden="false" customHeight="true" outlineLevel="0" collapsed="false">
      <c r="A51" s="9" t="s">
        <v>1490</v>
      </c>
      <c r="B51" s="9" t="s">
        <v>559</v>
      </c>
      <c r="C51" s="9" t="s">
        <v>3895</v>
      </c>
      <c r="D51" s="9" t="s">
        <v>482</v>
      </c>
      <c r="E51" s="9" t="s">
        <v>483</v>
      </c>
      <c r="F51" s="9" t="s">
        <v>3864</v>
      </c>
      <c r="G51" s="9" t="s">
        <v>3857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1" width="28"/>
    <col collapsed="false" customWidth="true" hidden="false" outlineLevel="0" max="2" min="2" style="1" width="120"/>
  </cols>
  <sheetData>
    <row r="1" customFormat="false" ht="45" hidden="false" customHeight="true" outlineLevel="0" collapsed="false">
      <c r="A1" s="10" t="s">
        <v>1575</v>
      </c>
      <c r="B1" s="10" t="s">
        <v>3905</v>
      </c>
    </row>
    <row r="2" customFormat="false" ht="15" hidden="false" customHeight="true" outlineLevel="0" collapsed="false">
      <c r="A2" s="9" t="s">
        <v>3906</v>
      </c>
      <c r="B2" s="9" t="s">
        <v>3907</v>
      </c>
    </row>
    <row r="3" customFormat="false" ht="15" hidden="false" customHeight="true" outlineLevel="0" collapsed="false">
      <c r="A3" s="9" t="s">
        <v>3908</v>
      </c>
      <c r="B3" s="9" t="s">
        <v>3909</v>
      </c>
    </row>
    <row r="4" customFormat="false" ht="27.75" hidden="false" customHeight="true" outlineLevel="0" collapsed="false">
      <c r="A4" s="9" t="s">
        <v>3910</v>
      </c>
      <c r="B4" s="9" t="s">
        <v>3911</v>
      </c>
    </row>
    <row r="5" customFormat="false" ht="27.75" hidden="false" customHeight="true" outlineLevel="0" collapsed="false">
      <c r="A5" s="9" t="s">
        <v>3912</v>
      </c>
      <c r="B5" s="9" t="s">
        <v>3913</v>
      </c>
    </row>
    <row r="6" customFormat="false" ht="27.75" hidden="false" customHeight="true" outlineLevel="0" collapsed="false">
      <c r="A6" s="9" t="s">
        <v>3914</v>
      </c>
      <c r="B6" s="9" t="s">
        <v>3915</v>
      </c>
    </row>
    <row r="7" customFormat="false" ht="27.75" hidden="false" customHeight="true" outlineLevel="0" collapsed="false">
      <c r="A7" s="9" t="s">
        <v>3916</v>
      </c>
      <c r="B7" s="9" t="s">
        <v>3917</v>
      </c>
    </row>
    <row r="8" customFormat="false" ht="15" hidden="false" customHeight="true" outlineLevel="0" collapsed="false">
      <c r="A8" s="9" t="s">
        <v>3918</v>
      </c>
      <c r="B8" s="9" t="s">
        <v>3919</v>
      </c>
    </row>
    <row r="9" customFormat="false" ht="27.75" hidden="false" customHeight="true" outlineLevel="0" collapsed="false">
      <c r="A9" s="9" t="s">
        <v>3920</v>
      </c>
      <c r="B9" s="9" t="s">
        <v>3921</v>
      </c>
    </row>
    <row r="10" customFormat="false" ht="15" hidden="false" customHeight="true" outlineLevel="0" collapsed="false">
      <c r="A10" s="9" t="s">
        <v>3922</v>
      </c>
      <c r="B10" s="9" t="s">
        <v>3923</v>
      </c>
    </row>
    <row r="11" customFormat="false" ht="15" hidden="false" customHeight="true" outlineLevel="0" collapsed="false">
      <c r="A11" s="1" t="s">
        <v>3924</v>
      </c>
      <c r="B11" s="1" t="s">
        <v>3925</v>
      </c>
    </row>
    <row r="12" customFormat="false" ht="15" hidden="false" customHeight="true" outlineLevel="0" collapsed="false">
      <c r="A12" s="1" t="s">
        <v>3926</v>
      </c>
      <c r="B12" s="1" t="s">
        <v>3927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60"/>
    <col collapsed="false" customWidth="true" hidden="false" outlineLevel="0" max="4" min="2" style="1" width="12"/>
    <col collapsed="false" customWidth="true" hidden="false" outlineLevel="0" max="5" min="5" style="1" width="70"/>
  </cols>
  <sheetData>
    <row r="1" customFormat="false" ht="15" hidden="false" customHeight="true" outlineLevel="0" collapsed="false">
      <c r="A1" s="10" t="s">
        <v>3928</v>
      </c>
      <c r="B1" s="10" t="s">
        <v>3929</v>
      </c>
      <c r="C1" s="10" t="s">
        <v>3930</v>
      </c>
      <c r="D1" s="10" t="s">
        <v>1576</v>
      </c>
      <c r="E1" s="10" t="s">
        <v>3931</v>
      </c>
    </row>
    <row r="2" customFormat="false" ht="15" hidden="false" customHeight="true" outlineLevel="0" collapsed="false">
      <c r="A2" s="9" t="s">
        <v>3932</v>
      </c>
      <c r="B2" s="9" t="n">
        <f aca="false">COUNTA(Troubleshooting_Cases!$A$2:$A$51)</f>
        <v>50</v>
      </c>
      <c r="C2" s="9" t="n">
        <v>50</v>
      </c>
      <c r="D2" s="14" t="str">
        <f aca="false">IF(B2=C2,"PASS","FAIL")</f>
        <v>PASS</v>
      </c>
      <c r="E2" s="9" t="s">
        <v>3933</v>
      </c>
    </row>
    <row r="3" customFormat="false" ht="15" hidden="false" customHeight="true" outlineLevel="0" collapsed="false">
      <c r="A3" s="9" t="s">
        <v>3934</v>
      </c>
      <c r="B3" s="9" t="n">
        <f aca="false">COUNTIF(Troubleshooting_Cases!$AC$2:$AC$51,"Centrifugal Pump")</f>
        <v>17</v>
      </c>
      <c r="C3" s="9" t="n">
        <v>17</v>
      </c>
      <c r="D3" s="14" t="str">
        <f aca="false">IF(B3=C3,"PASS","FAIL")</f>
        <v>PASS</v>
      </c>
      <c r="E3" s="9" t="s">
        <v>3935</v>
      </c>
    </row>
    <row r="4" customFormat="false" ht="15" hidden="false" customHeight="true" outlineLevel="0" collapsed="false">
      <c r="A4" s="9" t="s">
        <v>3936</v>
      </c>
      <c r="B4" s="9" t="n">
        <f aca="false">COUNTIF(Troubleshooting_Cases!$AC$2:$AC$51,"Three-Phase Induction Motor")</f>
        <v>17</v>
      </c>
      <c r="C4" s="9" t="n">
        <v>17</v>
      </c>
      <c r="D4" s="14" t="str">
        <f aca="false">IF(B4=C4,"PASS","FAIL")</f>
        <v>PASS</v>
      </c>
      <c r="E4" s="9" t="s">
        <v>3935</v>
      </c>
    </row>
    <row r="5" customFormat="false" ht="15" hidden="false" customHeight="true" outlineLevel="0" collapsed="false">
      <c r="A5" s="9" t="s">
        <v>3937</v>
      </c>
      <c r="B5" s="9" t="n">
        <f aca="false">COUNTIF(Troubleshooting_Cases!$AC$2:$AC$51,"Rotary Screw Air Compressor")</f>
        <v>16</v>
      </c>
      <c r="C5" s="9" t="n">
        <v>16</v>
      </c>
      <c r="D5" s="14" t="str">
        <f aca="false">IF(B5=C5,"PASS","FAIL")</f>
        <v>PASS</v>
      </c>
      <c r="E5" s="9" t="s">
        <v>3938</v>
      </c>
    </row>
    <row r="6" customFormat="false" ht="15" hidden="false" customHeight="true" outlineLevel="0" collapsed="false">
      <c r="A6" s="9" t="s">
        <v>3939</v>
      </c>
      <c r="B6" s="9" t="n">
        <f aca="false">SUMPRODUCT((COUNTIF(Troubleshooting_Cases!$A$2:$A$51,Troubleshooting_Cases!$A$2:$A$51)&gt;1)*1)</f>
        <v>0</v>
      </c>
      <c r="C6" s="9" t="n">
        <v>0</v>
      </c>
      <c r="D6" s="14" t="str">
        <f aca="false">IF(B6=C6,"PASS","FAIL")</f>
        <v>PASS</v>
      </c>
      <c r="E6" s="9" t="s">
        <v>3940</v>
      </c>
    </row>
    <row r="7" customFormat="false" ht="15" hidden="false" customHeight="true" outlineLevel="0" collapsed="false">
      <c r="A7" s="9" t="s">
        <v>3941</v>
      </c>
      <c r="B7" s="9" t="n">
        <f aca="false">SUMPRODUCT((COUNTIF(Troubleshooting_Cases!$AO$2:$AO$51,Troubleshooting_Cases!$AO$2:$AO$51)&gt;1)*1)</f>
        <v>0</v>
      </c>
      <c r="C7" s="9" t="n">
        <v>0</v>
      </c>
      <c r="D7" s="14" t="str">
        <f aca="false">IF(B7=C7,"PASS","FAIL")</f>
        <v>PASS</v>
      </c>
      <c r="E7" s="9" t="s">
        <v>3942</v>
      </c>
    </row>
    <row r="8" customFormat="false" ht="15" hidden="false" customHeight="true" outlineLevel="0" collapsed="false">
      <c r="A8" s="9" t="s">
        <v>3943</v>
      </c>
      <c r="B8" s="9" t="n">
        <f aca="false">COUNTBLANK(Troubleshooting_Cases!$A$2:$A$51)+COUNTBLANK(Troubleshooting_Cases!$X$2:$X$51)+COUNTBLANK(Troubleshooting_Cases!$AO$2:$AO$51)+COUNTBLANK(Troubleshooting_Cases!$AQ$2:$AQ$51)+COUNTBLANK(Troubleshooting_Cases!$AS$2:$AS$51)+COUNTBLANK(Troubleshooting_Cases!$AU$2:$AU$51)+COUNTBLANK(Troubleshooting_Cases!$AZ$2:$AZ$51)+COUNTBLANK(Troubleshooting_Cases!$AY$2:$AY$51)+COUNTBLANK(Troubleshooting_Cases!$BK$2:$BK$51)</f>
        <v>0</v>
      </c>
      <c r="C8" s="9" t="n">
        <v>0</v>
      </c>
      <c r="D8" s="14" t="str">
        <f aca="false">IF(B8=C8,"PASS","FAIL")</f>
        <v>PASS</v>
      </c>
      <c r="E8" s="9" t="s">
        <v>3940</v>
      </c>
    </row>
    <row r="9" customFormat="false" ht="15" hidden="false" customHeight="true" outlineLevel="0" collapsed="false">
      <c r="A9" s="9" t="s">
        <v>3944</v>
      </c>
      <c r="B9" s="9" t="n">
        <f aca="false">SUMPRODUCT((LEFT(Troubleshooting_Cases!$AG$2:$AG$51,3)&lt;&gt;"GAP")*(COUNTIF(Failure_Mode_Taxonomy!$J$2:$J$31,Troubleshooting_Cases!$AG$2:$AG$51&amp;"*")=0))</f>
        <v>0</v>
      </c>
      <c r="C9" s="9" t="n">
        <v>0</v>
      </c>
      <c r="D9" s="14" t="str">
        <f aca="false">IF(B9=C9,"PASS","FAIL")</f>
        <v>PASS</v>
      </c>
      <c r="E9" s="9" t="s">
        <v>3945</v>
      </c>
    </row>
    <row r="10" customFormat="false" ht="15" hidden="false" customHeight="true" outlineLevel="0" collapsed="false">
      <c r="A10" s="9" t="s">
        <v>3946</v>
      </c>
      <c r="B10" s="9" t="n">
        <f aca="false">SUMPRODUCT((LEFT(Troubleshooting_Cases!$AI$2:$AI$51,3)&lt;&gt;"GAP")*(COUNTIF(Taxonomy_FM_Vocabulary!$A$2:$A$29,Troubleshooting_Cases!$AI$2:$AI$51)=0))</f>
        <v>0</v>
      </c>
      <c r="C10" s="9" t="n">
        <v>0</v>
      </c>
      <c r="D10" s="14" t="str">
        <f aca="false">IF(B10=C10,"PASS","FAIL")</f>
        <v>PASS</v>
      </c>
      <c r="E10" s="9" t="s">
        <v>3947</v>
      </c>
    </row>
    <row r="11" customFormat="false" ht="15" hidden="false" customHeight="true" outlineLevel="0" collapsed="false">
      <c r="A11" s="9" t="s">
        <v>3948</v>
      </c>
      <c r="B11" s="9" t="n">
        <f aca="false">COUNTIF(Troubleshooting_Cases!$AG$2:$AG$51,"GAP*")</f>
        <v>11</v>
      </c>
      <c r="C11" s="9" t="n">
        <v>0</v>
      </c>
      <c r="D11" s="14" t="str">
        <f aca="false">IF(B11=0,"PASS","WARN")</f>
        <v>WARN</v>
      </c>
      <c r="E11" s="9" t="s">
        <v>3949</v>
      </c>
    </row>
    <row r="12" customFormat="false" ht="15" hidden="false" customHeight="true" outlineLevel="0" collapsed="false">
      <c r="A12" s="9" t="s">
        <v>3950</v>
      </c>
      <c r="B12" s="9" t="n">
        <f aca="false">COUNTIF(Troubleshooting_Cases!$AI$2:$AI$51,"GAP*")</f>
        <v>1</v>
      </c>
      <c r="C12" s="9" t="n">
        <v>0</v>
      </c>
      <c r="D12" s="14" t="str">
        <f aca="false">IF(B12=0,"PASS","WARN")</f>
        <v>WARN</v>
      </c>
      <c r="E12" s="9" t="s">
        <v>3951</v>
      </c>
    </row>
    <row r="13" customFormat="false" ht="15" hidden="false" customHeight="true" outlineLevel="0" collapsed="false">
      <c r="A13" s="9" t="s">
        <v>3952</v>
      </c>
      <c r="B13" s="9" t="n">
        <f aca="false">COUNTIF(Troubleshooting_Cases!$AK$2:$AK$51,"AMBIGUOUS*")</f>
        <v>14</v>
      </c>
      <c r="C13" s="9" t="n">
        <v>0</v>
      </c>
      <c r="D13" s="14" t="str">
        <f aca="false">IF(B13=0,"PASS","WARN")</f>
        <v>WARN</v>
      </c>
      <c r="E13" s="9" t="s">
        <v>3953</v>
      </c>
    </row>
    <row r="14" customFormat="false" ht="15" hidden="false" customHeight="true" outlineLevel="0" collapsed="false">
      <c r="A14" s="9" t="s">
        <v>3954</v>
      </c>
      <c r="B14" s="9" t="n">
        <f aca="false">COUNTBLANK(Troubleshooting_Cases!$BI$2:$BI$51)</f>
        <v>0</v>
      </c>
      <c r="C14" s="9" t="n">
        <v>0</v>
      </c>
      <c r="D14" s="14" t="str">
        <f aca="false">IF(B14=C14,"PASS","FAIL")</f>
        <v>PASS</v>
      </c>
      <c r="E14" s="9" t="s">
        <v>3940</v>
      </c>
    </row>
    <row r="15" customFormat="false" ht="27.75" hidden="false" customHeight="true" outlineLevel="0" collapsed="false">
      <c r="A15" s="9" t="s">
        <v>3955</v>
      </c>
      <c r="B15" s="9" t="n">
        <f aca="false">SUMPRODUCT(--(LEFT(Troubleshooting_Cases!$AV$2:$AV$51,3)&lt;&gt;"OEM"))</f>
        <v>0</v>
      </c>
      <c r="C15" s="9" t="n">
        <v>0</v>
      </c>
      <c r="D15" s="14" t="str">
        <f aca="false">IF(B15=C15,"PASS","FAIL")</f>
        <v>PASS</v>
      </c>
      <c r="E15" s="9" t="s">
        <v>3940</v>
      </c>
    </row>
    <row r="16" customFormat="false" ht="15" hidden="false" customHeight="true" outlineLevel="0" collapsed="false">
      <c r="A16" s="9" t="s">
        <v>3956</v>
      </c>
      <c r="B16" s="9" t="n">
        <f aca="false">COUNTIF(Troubleshooting_Cases!$BK$2:$BK$51,"VERIFIED")</f>
        <v>0</v>
      </c>
      <c r="C16" s="9" t="n">
        <v>0</v>
      </c>
      <c r="D16" s="14" t="str">
        <f aca="false">IF(B16=C16,"PASS","FAIL")</f>
        <v>PASS</v>
      </c>
      <c r="E16" s="9" t="s">
        <v>3957</v>
      </c>
    </row>
    <row r="17" customFormat="false" ht="15" hidden="false" customHeight="true" outlineLevel="0" collapsed="false">
      <c r="A17" s="9" t="s">
        <v>3958</v>
      </c>
      <c r="B17" s="9" t="n">
        <f aca="false">COUNTA(Troubleshooting_Cases!$A$2:$A$51)-COUNTIF(Troubleshooting_Cases!$BB$2:$BB$51,"Yes*")</f>
        <v>0</v>
      </c>
      <c r="C17" s="9" t="n">
        <v>0</v>
      </c>
      <c r="D17" s="14" t="str">
        <f aca="false">IF(B17=C17,"PASS","FAIL")</f>
        <v>PASS</v>
      </c>
      <c r="E17" s="9" t="s">
        <v>3940</v>
      </c>
    </row>
    <row r="18" customFormat="false" ht="15" hidden="false" customHeight="true" outlineLevel="0" collapsed="false">
      <c r="A18" s="9" t="s">
        <v>3959</v>
      </c>
      <c r="B18" s="9" t="n">
        <f aca="false">COUNTA(Troubleshooting_Cases!$A$2:$A$51)-COUNTIF(Troubleshooting_Cases!$BC$2:$BC$51,"Yes*")</f>
        <v>0</v>
      </c>
      <c r="C18" s="9" t="n">
        <v>0</v>
      </c>
      <c r="D18" s="14" t="str">
        <f aca="false">IF(B18=C18,"PASS","FAIL")</f>
        <v>PASS</v>
      </c>
      <c r="E18" s="9" t="s">
        <v>3940</v>
      </c>
    </row>
    <row r="19" customFormat="false" ht="15" hidden="false" customHeight="true" outlineLevel="0" collapsed="false">
      <c r="A19" s="9" t="s">
        <v>3960</v>
      </c>
      <c r="B19" s="9" t="n">
        <f aca="false">SUMPRODUCT(--(COUNTIF(Diagnostic_Steps!$B$2:$B$351,Troubleshooting_Cases!$A$2:$A$51)&lt;5))</f>
        <v>0</v>
      </c>
      <c r="C19" s="9" t="n">
        <v>0</v>
      </c>
      <c r="D19" s="14" t="str">
        <f aca="false">IF(B19=C19,"PASS","FAIL")</f>
        <v>PASS</v>
      </c>
      <c r="E19" s="9" t="s">
        <v>3940</v>
      </c>
    </row>
    <row r="20" customFormat="false" ht="15" hidden="false" customHeight="true" outlineLevel="0" collapsed="false">
      <c r="A20" s="9" t="s">
        <v>3961</v>
      </c>
      <c r="B20" s="9" t="n">
        <f aca="false">COUNTIF(Troubleshooting_Cases!$BK$2:$BK$51,"PENDING_VALIDATION")</f>
        <v>50</v>
      </c>
      <c r="C20" s="9" t="n">
        <v>0</v>
      </c>
      <c r="D20" s="14" t="str">
        <f aca="false">"INFO"</f>
        <v>INFO</v>
      </c>
      <c r="E20" s="9" t="s">
        <v>3962</v>
      </c>
    </row>
    <row r="21" customFormat="false" ht="27.75" hidden="false" customHeight="true" outlineLevel="0" collapsed="false">
      <c r="A21" s="9" t="s">
        <v>3963</v>
      </c>
      <c r="B21" s="9" t="s">
        <v>3922</v>
      </c>
      <c r="C21" s="9"/>
      <c r="D21" s="14" t="s">
        <v>3964</v>
      </c>
      <c r="E21" s="9" t="s">
        <v>3965</v>
      </c>
    </row>
  </sheetData>
  <conditionalFormatting sqref="D2:D21">
    <cfRule type="cellIs" priority="2" operator="equal" aboveAverage="0" equalAverage="0" bottom="0" percent="0" rank="0" text="" dxfId="5">
      <formula>"PASS"</formula>
    </cfRule>
    <cfRule type="cellIs" priority="3" operator="equal" aboveAverage="0" equalAverage="0" bottom="0" percent="0" rank="0" text="" dxfId="8">
      <formula>"FAIL"</formula>
    </cfRule>
    <cfRule type="cellIs" priority="4" operator="equal" aboveAverage="0" equalAverage="0" bottom="0" percent="0" rank="0" text="" dxfId="6">
      <formula>"WARN"</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9" min="1" style="1" width="40"/>
  </cols>
  <sheetData>
    <row r="1" customFormat="false" ht="15" hidden="false" customHeight="true" outlineLevel="0" collapsed="false">
      <c r="A1" s="15" t="s">
        <v>94</v>
      </c>
      <c r="B1" s="15" t="s">
        <v>111</v>
      </c>
      <c r="C1" s="15" t="s">
        <v>112</v>
      </c>
      <c r="D1" s="15" t="s">
        <v>1620</v>
      </c>
      <c r="E1" s="15" t="s">
        <v>148</v>
      </c>
      <c r="F1" s="15" t="s">
        <v>71</v>
      </c>
      <c r="G1" s="15" t="s">
        <v>151</v>
      </c>
      <c r="H1" s="15" t="s">
        <v>142</v>
      </c>
      <c r="I1" s="15" t="s">
        <v>3762</v>
      </c>
    </row>
    <row r="2" customFormat="false" ht="15" hidden="false" customHeight="true" outlineLevel="0" collapsed="false">
      <c r="A2" s="1" t="s">
        <v>156</v>
      </c>
      <c r="B2" s="1" t="s">
        <v>3966</v>
      </c>
      <c r="C2" s="1" t="s">
        <v>174</v>
      </c>
      <c r="D2" s="1" t="s">
        <v>1631</v>
      </c>
      <c r="E2" s="1" t="s">
        <v>3419</v>
      </c>
      <c r="F2" s="1" t="s">
        <v>3967</v>
      </c>
      <c r="G2" s="1" t="s">
        <v>209</v>
      </c>
      <c r="H2" s="1" t="s">
        <v>199</v>
      </c>
      <c r="I2" s="1" t="s">
        <v>3764</v>
      </c>
    </row>
    <row r="3" customFormat="false" ht="15" hidden="false" customHeight="true" outlineLevel="0" collapsed="false">
      <c r="A3" s="1" t="s">
        <v>663</v>
      </c>
      <c r="B3" s="1" t="s">
        <v>3968</v>
      </c>
      <c r="C3" s="1" t="s">
        <v>3969</v>
      </c>
      <c r="D3" s="1" t="s">
        <v>1652</v>
      </c>
      <c r="E3" s="1" t="s">
        <v>3970</v>
      </c>
      <c r="F3" s="1" t="s">
        <v>208</v>
      </c>
      <c r="G3" s="1" t="s">
        <v>3971</v>
      </c>
      <c r="H3" s="1" t="s">
        <v>3972</v>
      </c>
      <c r="I3" s="1" t="s">
        <v>3973</v>
      </c>
    </row>
    <row r="4" customFormat="false" ht="15" hidden="false" customHeight="true" outlineLevel="0" collapsed="false">
      <c r="A4" s="1" t="s">
        <v>1106</v>
      </c>
      <c r="B4" s="1" t="s">
        <v>3974</v>
      </c>
      <c r="C4" s="1" t="s">
        <v>3975</v>
      </c>
      <c r="D4" s="1" t="s">
        <v>1676</v>
      </c>
      <c r="E4" s="1" t="s">
        <v>3976</v>
      </c>
      <c r="F4" s="1" t="s">
        <v>3977</v>
      </c>
      <c r="G4" s="1" t="s">
        <v>3978</v>
      </c>
      <c r="I4" s="1" t="s">
        <v>3979</v>
      </c>
    </row>
    <row r="5" customFormat="false" ht="15" hidden="false" customHeight="true" outlineLevel="0" collapsed="false">
      <c r="B5" s="1" t="s">
        <v>173</v>
      </c>
      <c r="C5" s="1" t="s">
        <v>3980</v>
      </c>
      <c r="E5" s="1" t="s">
        <v>205</v>
      </c>
      <c r="F5" s="1" t="s">
        <v>3981</v>
      </c>
      <c r="G5" s="1" t="s">
        <v>3982</v>
      </c>
      <c r="I5" s="1" t="s">
        <v>3981</v>
      </c>
    </row>
    <row r="6" customFormat="false" ht="15" hidden="false" customHeight="true" outlineLevel="0" collapsed="false">
      <c r="C6" s="1" t="s">
        <v>3983</v>
      </c>
      <c r="F6" s="1" t="s">
        <v>3984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2026-10-24T11:40:55Z</dcterms:created>
  <dc:creator>openpyxl</dc:creator>
  <dc:description/>
  <dc:language>en-US</dc:language>
  <cp:lastModifiedBy/>
  <dcterms:modified xsi:type="dcterms:W3CDTF">2026-10-24T12:53:27Z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