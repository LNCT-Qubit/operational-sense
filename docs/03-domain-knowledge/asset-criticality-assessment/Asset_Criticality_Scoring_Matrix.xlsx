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Summary" sheetId="2" state="visible" r:id="rId4"/>
    <sheet name="Factors_Definitions" sheetId="3" state="visible" r:id="rId5"/>
    <sheet name="Scoring_Scales" sheetId="4" state="visible" r:id="rId6"/>
    <sheet name="Parameters" sheetId="5" state="visible" r:id="rId7"/>
    <sheet name="Classification_Rules" sheetId="6" state="visible" r:id="rId8"/>
    <sheet name="Assessments" sheetId="7" state="visible" r:id="rId9"/>
    <sheet name="Example_Rationale" sheetId="8" state="visible" r:id="rId10"/>
    <sheet name="Field_Definitions" sheetId="9" state="visible" r:id="rId11"/>
    <sheet name="Hierarchy_Alignment" sheetId="10" state="visible" r:id="rId12"/>
    <sheet name="Source_Register" sheetId="11" state="visible" r:id="rId13"/>
    <sheet name="Review_Log" sheetId="12" state="visible" r:id="rId14"/>
    <sheet name="Open_Issue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<sst xmlns="http://schemas.openxmlformats.org/spreadsheetml/2006/main" count="996" uniqueCount="594">
  <si>
    <t xml:space="preserve">Field</t>
  </si>
  <si>
    <t xml:space="preserve">Guidance</t>
  </si>
  <si>
    <t xml:space="preserve">Deliverable</t>
  </si>
  <si>
    <t xml:space="preserve">G1_Asset_Criticality_Scoring_Matrix_v1.0 - companion workbook to G1_Asset_Criticality_Framework_v1.0.docx (Operational Sense, Sprint 1).</t>
  </si>
  <si>
    <t xml:space="preserve">What it contains</t>
  </si>
  <si>
    <t xml:space="preserve">Factors and definitions | scoring scales (the scoring matrix) | parameters (weights, bands, overrides) | classification rules | 10 worked assessments with live formulas | rationale per score | field definitions | hierarchy alignment | source register | review log | open issues.</t>
  </si>
  <si>
    <t xml:space="preserve">What criticality means here</t>
  </si>
  <si>
    <t xml:space="preserve">Criticality rates the CONSEQUENCE of losing an installed asset (tag-level asset instance). It is not failure likelihood, not asset condition, and not the case-level severity field in the Knowledge Base.</t>
  </si>
  <si>
    <t xml:space="preserve">Method in one line</t>
  </si>
  <si>
    <t xml:space="preserve">Score 5 factors from 1 to 5, apply proposed weights, convert to a 0-100 index (weighted score x 20), assign Low/Medium/High/Critical by band, then apply safety/environment override floors.</t>
  </si>
  <si>
    <t xml:space="preserve">Status</t>
  </si>
  <si>
    <t xml:space="preserve">DRAFT PROPOSAL. Weights, bands, default time bands and overrides are team proposals, not agreed standards. They need approval by the relevant workstreams and calibration with a site.</t>
  </si>
  <si>
    <t xml:space="preserve">Examples</t>
  </si>
  <si>
    <t xml:space="preserve">The 10 assessments use ASSUMED service contexts. They are illustrative, not real plant data. Tags P-101, M-101, C-101 (AST-0001 to AST-0003) match the M03 hierarchy; the other asset IDs are illustrative additions.</t>
  </si>
  <si>
    <t xml:space="preserve">How to reproduce</t>
  </si>
  <si>
    <t xml:space="preserve">Change only the blue score cells on sheet Assessments (1-5). All other columns are formulas driven by sheet Parameters. Weights must total 100% (check on Parameters).</t>
  </si>
  <si>
    <t xml:space="preserve">Colour code</t>
  </si>
  <si>
    <t xml:space="preserve">Blue text = input. Black = formula or text. Yellow = key parameter that the team may change after approval.</t>
  </si>
  <si>
    <t xml:space="preserve">Hierarchy dependency</t>
  </si>
  <si>
    <t xml:space="preserve">Aligned with the DRAFT hierarchy G1_Equipment_Hierarchy_v1.0.xlsx. The approved hierarchy is a dependency; re-check IDs once approved.</t>
  </si>
  <si>
    <t xml:space="preserve">Review status</t>
  </si>
  <si>
    <t xml:space="preserve">Backend and AI &amp; Retrieval review NOT yet held. See Review_Log.</t>
  </si>
  <si>
    <t xml:space="preserve">Final category</t>
  </si>
  <si>
    <t xml:space="preserve">Assets</t>
  </si>
  <si>
    <t xml:space="preserve">Share</t>
  </si>
  <si>
    <t xml:space="preserve">Critical</t>
  </si>
  <si>
    <t xml:space="preserve">High</t>
  </si>
  <si>
    <t xml:space="preserve">Medium</t>
  </si>
  <si>
    <t xml:space="preserve">Low</t>
  </si>
  <si>
    <t xml:space="preserve">TOTAL</t>
  </si>
  <si>
    <t xml:space="preserve">Class</t>
  </si>
  <si>
    <t xml:space="preserve">Average index</t>
  </si>
  <si>
    <t xml:space="preserve">EQ-PUMP</t>
  </si>
  <si>
    <t xml:space="preserve">EQ-MOTOR</t>
  </si>
  <si>
    <t xml:space="preserve">EQ-COMP</t>
  </si>
  <si>
    <t xml:space="preserve">Assets where an override changed the category</t>
  </si>
  <si>
    <t xml:space="preserve">Weights check</t>
  </si>
  <si>
    <t xml:space="preserve">factor_id</t>
  </si>
  <si>
    <t xml:space="preserve">factor_name</t>
  </si>
  <si>
    <t xml:space="preserve">definition</t>
  </si>
  <si>
    <t xml:space="preserve">measurable indicators</t>
  </si>
  <si>
    <t xml:space="preserve">weight (from Parameters)</t>
  </si>
  <si>
    <t xml:space="preserve">weight basis</t>
  </si>
  <si>
    <t xml:space="preserve">F1</t>
  </si>
  <si>
    <t xml:space="preserve">Safety (personnel and equipment)</t>
  </si>
  <si>
    <t xml:space="preserve">Worst credible harm to people, and damage to the asset or neighbouring equipment, if the asset fails.</t>
  </si>
  <si>
    <t xml:space="preserve">Worst credible injury outcome; potential for fire, explosion, pressure or stored-energy release; damage to adjacent equipment; loss of a safety function.</t>
  </si>
  <si>
    <t xml:space="preserve">Team proposal; see framework document Section 4.</t>
  </si>
  <si>
    <t xml:space="preserve">F2</t>
  </si>
  <si>
    <t xml:space="preserve">Production loss and downtime</t>
  </si>
  <si>
    <t xml:space="preserve">Loss of output caused by the asset failing, considering duration and scope of the interruption with no workaround.</t>
  </si>
  <si>
    <t xml:space="preserve">Duration of interruption; scope (one machine, a line, the whole plant); whether lost output can be recovered.</t>
  </si>
  <si>
    <t xml:space="preserve">F3</t>
  </si>
  <si>
    <t xml:space="preserve">Environmental impact</t>
  </si>
  <si>
    <t xml:space="preserve">Harm to the environment, and any regulatory consequence, if the asset fails.</t>
  </si>
  <si>
    <t xml:space="preserve">Type and amount of release; whether it stays inside containment; whether it must be reported to a regulator.</t>
  </si>
  <si>
    <t xml:space="preserve">F4</t>
  </si>
  <si>
    <t xml:space="preserve">Operational dependency and business continuity</t>
  </si>
  <si>
    <t xml:space="preserve">How much other processes or services depend on the asset, and whether a standby or workaround exists.</t>
  </si>
  <si>
    <t xml:space="preserve">Installed standby or redundancy; number of dependent processes or services; availability of a workaround; single point of failure.</t>
  </si>
  <si>
    <t xml:space="preserve">F5</t>
  </si>
  <si>
    <t xml:space="preserve">Maintenance and repair consequences</t>
  </si>
  <si>
    <t xml:space="preserve">Effort, time and cost needed to restore the asset after a failure.</t>
  </si>
  <si>
    <t xml:space="preserve">Repair duration; spares availability and lead time; repair cost relative to the site maintenance budget; need for specialist resources.</t>
  </si>
  <si>
    <t xml:space="preserve">factor</t>
  </si>
  <si>
    <t xml:space="preserve">1 - Very low</t>
  </si>
  <si>
    <t xml:space="preserve">2 - Low</t>
  </si>
  <si>
    <t xml:space="preserve">3 - Moderate</t>
  </si>
  <si>
    <t xml:space="preserve">4 - High</t>
  </si>
  <si>
    <t xml:space="preserve">5 - Very high</t>
  </si>
  <si>
    <t xml:space="preserve">No credible injury; no effect on other equipment.</t>
  </si>
  <si>
    <t xml:space="preserve">First-aid injury possible; minor damage limited to the asset itself.</t>
  </si>
  <si>
    <t xml:space="preserve">Medical-treatment injury possible; moderate damage to connected equipment.</t>
  </si>
  <si>
    <t xml:space="preserve">Lost-time or serious injury possible; significant damage to adjacent equipment or loss of a safety function.</t>
  </si>
  <si>
    <t xml:space="preserve">Fatality or permanently disabling injury possible; credible fire, explosion or major energy/pressure release.</t>
  </si>
  <si>
    <t xml:space="preserve">No production effect.</t>
  </si>
  <si>
    <t xml:space="preserve">Reduced rate, or interruption of under about 4 hours on one machine or line section; fully recoverable.</t>
  </si>
  <si>
    <t xml:space="preserve">Interruption of about 4 to 24 hours on a line; partly recoverable.</t>
  </si>
  <si>
    <t xml:space="preserve">Line stopped for about 1 to 3 days, or a short plant-wide stop.</t>
  </si>
  <si>
    <t xml:space="preserve">Line stopped for more than about 3 days, or a prolonged plant-wide stop; output not recoverable.</t>
  </si>
  <si>
    <t xml:space="preserve">No release or emission.</t>
  </si>
  <si>
    <t xml:space="preserve">Minor release, contained on site and cleaned up by routine action; no reporting.</t>
  </si>
  <si>
    <t xml:space="preserve">Release needing formal clean-up and internal incident reporting.</t>
  </si>
  <si>
    <t xml:space="preserve">Release beyond local containment, or reportable to a regulator; localised effect.</t>
  </si>
  <si>
    <t xml:space="preserve">Major or off-site release, significant regulatory action or lasting environmental damage.</t>
  </si>
  <si>
    <t xml:space="preserve">Installed standby with automatic changeover; no dependency.</t>
  </si>
  <si>
    <t xml:space="preserve">Standby available with manual changeover, or few dependents with an easy workaround.</t>
  </si>
  <si>
    <t xml:space="preserve">Partial backup or buffer capacity covers a short outage; limited dependents.</t>
  </si>
  <si>
    <t xml:space="preserve">No standby; several downstream processes depend on it; workaround difficult.</t>
  </si>
  <si>
    <t xml:space="preserve">Single point of failure for the plant or a critical service; no workaround.</t>
  </si>
  <si>
    <t xml:space="preserve">Simple repair within about 4 hours; stock spares; low cost; in-house skills.</t>
  </si>
  <si>
    <t xml:space="preserve">Repair within a shift; spares in stock; routine skills; low to moderate cost.</t>
  </si>
  <si>
    <t xml:space="preserve">Repair takes 1 to 2 days; spares from supplier within days; moderate cost.</t>
  </si>
  <si>
    <t xml:space="preserve">Repair takes several days to weeks; long-lead spares or specialist contractor; high cost.</t>
  </si>
  <si>
    <t xml:space="preserve">Repair takes weeks to months; OEM-only or custom parts; replacement likely; very high cost.</t>
  </si>
  <si>
    <t xml:space="preserve">Note</t>
  </si>
  <si>
    <t xml:space="preserve">Time bands (F2, F5) are PROPOSED DEFAULTS and must be calibrated by the site. Score the worst credible consequence of losing the asset's function in normal operation, counting only standby, protection and workarounds that actually exist. If unsure between two levels, choose the higher one and record why.</t>
  </si>
  <si>
    <t xml:space="preserve">Parameter</t>
  </si>
  <si>
    <t xml:space="preserve">Value</t>
  </si>
  <si>
    <t xml:space="preserve">Weight - F1 Safety</t>
  </si>
  <si>
    <t xml:space="preserve">Proposed. Highest weight: safety harm is not recoverable.</t>
  </si>
  <si>
    <t xml:space="preserve">Weight - F2 Production loss and downtime</t>
  </si>
  <si>
    <t xml:space="preserve">Proposed.</t>
  </si>
  <si>
    <t xml:space="preserve">Weight - F3 Environmental impact</t>
  </si>
  <si>
    <t xml:space="preserve">Weight - F4 Operational dependency and continuity</t>
  </si>
  <si>
    <t xml:space="preserve">Weight - F5 Maintenance and repair consequences</t>
  </si>
  <si>
    <t xml:space="preserve">Total weight</t>
  </si>
  <si>
    <t xml:space="preserve">Must equal 100%.</t>
  </si>
  <si>
    <t xml:space="preserve">Band threshold - Critical (index &gt;=)</t>
  </si>
  <si>
    <t xml:space="preserve">Equals weighted score 4.0.</t>
  </si>
  <si>
    <t xml:space="preserve">Band threshold - High (index &gt;=)</t>
  </si>
  <si>
    <t xml:space="preserve">Equals weighted score 3.0.</t>
  </si>
  <si>
    <t xml:space="preserve">Band threshold - Medium (index &gt;=)</t>
  </si>
  <si>
    <t xml:space="preserve">Equals weighted score 2.0. Below this = Low.</t>
  </si>
  <si>
    <t xml:space="preserve">Override R1 - Safety score &gt;= (forces Critical)</t>
  </si>
  <si>
    <t xml:space="preserve">Override R2 - Environmental score &gt;= (forces Critical)</t>
  </si>
  <si>
    <t xml:space="preserve">Override R3 - Safety score &gt;= (minimum High)</t>
  </si>
  <si>
    <t xml:space="preserve">Override R4 - Environmental score &gt;= (minimum High)</t>
  </si>
  <si>
    <t xml:space="preserve">A. Category bands (applied to the criticality index, rounded to 1 decimal)</t>
  </si>
  <si>
    <t xml:space="preserve">Category</t>
  </si>
  <si>
    <t xml:space="preserve">Index range</t>
  </si>
  <si>
    <t xml:space="preserve">Equivalent weighted score</t>
  </si>
  <si>
    <t xml:space="preserve">Meaning</t>
  </si>
  <si>
    <t xml:space="preserve">Suggested use (proposal, not a maintenance policy)</t>
  </si>
  <si>
    <t xml:space="preserve">80.0 to 100.0</t>
  </si>
  <si>
    <t xml:space="preserve">4.0 to 5.0</t>
  </si>
  <si>
    <t xml:space="preserve">Failure has severe consequences for people, environment, production or continuity.</t>
  </si>
  <si>
    <t xml:space="preserve">Highest priority for condition monitoring, spares review and preventive-maintenance review.</t>
  </si>
  <si>
    <t xml:space="preserve">60.0 to 79.9</t>
  </si>
  <si>
    <t xml:space="preserve">3.0 to 3.99</t>
  </si>
  <si>
    <t xml:space="preserve">Failure has major consequences.</t>
  </si>
  <si>
    <t xml:space="preserve">Scheduled preventive maintenance and routine monitoring.</t>
  </si>
  <si>
    <t xml:space="preserve">40.0 to 59.9</t>
  </si>
  <si>
    <t xml:space="preserve">2.0 to 2.99</t>
  </si>
  <si>
    <t xml:space="preserve">Failure has moderate consequences.</t>
  </si>
  <si>
    <t xml:space="preserve">Standard preventive maintenance.</t>
  </si>
  <si>
    <t xml:space="preserve">20.0 to 39.9</t>
  </si>
  <si>
    <t xml:space="preserve">1.0 to 1.99</t>
  </si>
  <si>
    <t xml:space="preserve">Failure has limited consequences.</t>
  </si>
  <si>
    <t xml:space="preserve">Basic checks; run-to-failure may be acceptable where spares are easy to get.</t>
  </si>
  <si>
    <t xml:space="preserve">B. Override rules (final category = the higher of the band category and the override floor)</t>
  </si>
  <si>
    <t xml:space="preserve">Rule</t>
  </si>
  <si>
    <t xml:space="preserve">Condition</t>
  </si>
  <si>
    <t xml:space="preserve">Effect</t>
  </si>
  <si>
    <t xml:space="preserve">Reason</t>
  </si>
  <si>
    <t xml:space="preserve">R1</t>
  </si>
  <si>
    <t xml:space="preserve">Safety score &gt;= 5</t>
  </si>
  <si>
    <t xml:space="preserve">Final category = Critical</t>
  </si>
  <si>
    <t xml:space="preserve">A credible fatality or major release must not be diluted by low scores elsewhere.</t>
  </si>
  <si>
    <t xml:space="preserve">R2</t>
  </si>
  <si>
    <t xml:space="preserve">Environmental score &gt;= 5</t>
  </si>
  <si>
    <t xml:space="preserve">A major or off-site release must not be diluted.</t>
  </si>
  <si>
    <t xml:space="preserve">R3</t>
  </si>
  <si>
    <t xml:space="preserve">Safety score &gt;= 4</t>
  </si>
  <si>
    <t xml:space="preserve">Final category at least High</t>
  </si>
  <si>
    <t xml:space="preserve">Serious-injury potential must not fall below High.</t>
  </si>
  <si>
    <t xml:space="preserve">R4</t>
  </si>
  <si>
    <t xml:space="preserve">Environmental score &gt;= 4</t>
  </si>
  <si>
    <t xml:space="preserve">Reportable release potential must not fall below High.</t>
  </si>
  <si>
    <t xml:space="preserve">C. Assignment procedure</t>
  </si>
  <si>
    <t xml:space="preserve">Step</t>
  </si>
  <si>
    <t xml:space="preserve">Action</t>
  </si>
  <si>
    <t xml:space="preserve">Identify the asset instance (asset_id, tag, type) and describe its service and any standby or dependants.</t>
  </si>
  <si>
    <t xml:space="preserve">Score each of the 5 factors from 1 to 5 using sheet Scoring_Scales; write a short rationale for each score (mandatory for scores of 4 or 5).</t>
  </si>
  <si>
    <t xml:space="preserve">Weighted score = sum of (factor score x weight).</t>
  </si>
  <si>
    <t xml:space="preserve">Criticality index = weighted score x 20 (range 20 to 100).</t>
  </si>
  <si>
    <t xml:space="preserve">Assign the band category from the index.</t>
  </si>
  <si>
    <t xml:space="preserve">Apply override rules R1 to R4; final category = higher of band and floor.</t>
  </si>
  <si>
    <t xml:space="preserve">Record assessor, date, status and versions; have operations, safety and maintenance review before approval.</t>
  </si>
  <si>
    <t xml:space="preserve">D. Boundary, ties and reassessment</t>
  </si>
  <si>
    <t xml:space="preserve">Topic</t>
  </si>
  <si>
    <t xml:space="preserve">Boundaries</t>
  </si>
  <si>
    <t xml:space="preserve">Thresholds apply to the index rounded to 1 decimal. An index of exactly 60.0 is High; exactly 80.0 is Critical; exactly 40.0 is Medium.</t>
  </si>
  <si>
    <t xml:space="preserve">Uncertain scores</t>
  </si>
  <si>
    <t xml:space="preserve">Choose the higher level and record why; do not average two levels.</t>
  </si>
  <si>
    <t xml:space="preserve">Driver and driven equipment</t>
  </si>
  <si>
    <t xml:space="preserve">Score each asset on its own consequences. A motor or coupling serving a driven machine normally shares the production and dependency scores of that machine.</t>
  </si>
  <si>
    <t xml:space="preserve">Reassessment</t>
  </si>
  <si>
    <t xml:space="preserve">At least every 12 months (proposed), and after a process change, a change in standby or redundancy, a serious incident, or a change in weights or bands.</t>
  </si>
  <si>
    <t xml:space="preserve">Inflation check</t>
  </si>
  <si>
    <t xml:space="preserve">If most assets land in Critical or High, review scale use; the method must differentiate.</t>
  </si>
  <si>
    <t xml:space="preserve">assessment_id</t>
  </si>
  <si>
    <t xml:space="preserve">asset_id</t>
  </si>
  <si>
    <t xml:space="preserve">equipment_tag</t>
  </si>
  <si>
    <t xml:space="preserve">class_id</t>
  </si>
  <si>
    <t xml:space="preserve">type_id</t>
  </si>
  <si>
    <t xml:space="preserve">service_context (ASSUMED)</t>
  </si>
  <si>
    <t xml:space="preserve">score_safety</t>
  </si>
  <si>
    <t xml:space="preserve">score_production</t>
  </si>
  <si>
    <t xml:space="preserve">score_environment</t>
  </si>
  <si>
    <t xml:space="preserve">score_dependency</t>
  </si>
  <si>
    <t xml:space="preserve">score_maintenance</t>
  </si>
  <si>
    <t xml:space="preserve">weighted_score</t>
  </si>
  <si>
    <t xml:space="preserve">criticality_index</t>
  </si>
  <si>
    <t xml:space="preserve">band_rank</t>
  </si>
  <si>
    <t xml:space="preserve">band_category</t>
  </si>
  <si>
    <t xml:space="preserve">override_floor_rank</t>
  </si>
  <si>
    <t xml:space="preserve">override_rules_triggered</t>
  </si>
  <si>
    <t xml:space="preserve">final_rank</t>
  </si>
  <si>
    <t xml:space="preserve">final_category</t>
  </si>
  <si>
    <t xml:space="preserve">override_changed_category</t>
  </si>
  <si>
    <t xml:space="preserve">data_origin</t>
  </si>
  <si>
    <t xml:space="preserve">CRA-0001</t>
  </si>
  <si>
    <t xml:space="preserve">AST-0001</t>
  </si>
  <si>
    <t xml:space="preserve">P-101</t>
  </si>
  <si>
    <t xml:space="preserve">TY-PUMP-CENT</t>
  </si>
  <si>
    <t xml:space="preserve">Cooling-water circulation pump; single duty, no installed standby; serves the main process line</t>
  </si>
  <si>
    <t xml:space="preserve">Synthetic Scenario</t>
  </si>
  <si>
    <t xml:space="preserve">CRA-0002</t>
  </si>
  <si>
    <t xml:space="preserve">AST-0004</t>
  </si>
  <si>
    <t xml:space="preserve">P-102</t>
  </si>
  <si>
    <t xml:space="preserve">Boiler feed-water pump; no installed spare</t>
  </si>
  <si>
    <t xml:space="preserve">CRA-0003</t>
  </si>
  <si>
    <t xml:space="preserve">AST-0007</t>
  </si>
  <si>
    <t xml:space="preserve">P-201</t>
  </si>
  <si>
    <t xml:space="preserve">Sump drainage pump; installed standby with automatic changeover</t>
  </si>
  <si>
    <t xml:space="preserve">CRA-0004</t>
  </si>
  <si>
    <t xml:space="preserve">AST-0012</t>
  </si>
  <si>
    <t xml:space="preserve">P-305</t>
  </si>
  <si>
    <t xml:space="preserve">Transfer pump for flammable solvent; standby installed; bunded area</t>
  </si>
  <si>
    <t xml:space="preserve">CRA-0005</t>
  </si>
  <si>
    <t xml:space="preserve">AST-0002</t>
  </si>
  <si>
    <t xml:space="preserve">M-101</t>
  </si>
  <si>
    <t xml:space="preserve">TY-MOTOR-IM3</t>
  </si>
  <si>
    <t xml:space="preserve">Drive motor of P-101 (same cooling-water duty)</t>
  </si>
  <si>
    <t xml:space="preserve">CRA-0006</t>
  </si>
  <si>
    <t xml:space="preserve">AST-0008</t>
  </si>
  <si>
    <t xml:space="preserve">M-301</t>
  </si>
  <si>
    <t xml:space="preserve">Conveyor drive motor on a single line; spare motor held in store</t>
  </si>
  <si>
    <t xml:space="preserve">CRA-0007</t>
  </si>
  <si>
    <t xml:space="preserve">AST-0009</t>
  </si>
  <si>
    <t xml:space="preserve">M-402</t>
  </si>
  <si>
    <t xml:space="preserve">Workshop ventilation fan motor, general area</t>
  </si>
  <si>
    <t xml:space="preserve">CRA-0008</t>
  </si>
  <si>
    <t xml:space="preserve">AST-0003</t>
  </si>
  <si>
    <t xml:space="preserve">C-101</t>
  </si>
  <si>
    <t xml:space="preserve">TY-COMP-SCREW</t>
  </si>
  <si>
    <t xml:space="preserve">Instrument-air compressor; single unit; plant instruments depend on it</t>
  </si>
  <si>
    <t xml:space="preserve">CRA-0009</t>
  </si>
  <si>
    <t xml:space="preserve">AST-0010</t>
  </si>
  <si>
    <t xml:space="preserve">C-102</t>
  </si>
  <si>
    <t xml:space="preserve">General-service plant-air compressor; duty/standby pair</t>
  </si>
  <si>
    <t xml:space="preserve">CRA-0010</t>
  </si>
  <si>
    <t xml:space="preserve">AST-0011</t>
  </si>
  <si>
    <t xml:space="preserve">C-201</t>
  </si>
  <si>
    <t xml:space="preserve">Workshop compressor for intermittent tool use</t>
  </si>
  <si>
    <t xml:space="preserve">score</t>
  </si>
  <si>
    <t xml:space="preserve">rationale (assumed context)</t>
  </si>
  <si>
    <t xml:space="preserve">F1 Safety (personnel and equipment)</t>
  </si>
  <si>
    <t xml:space="preserve">Loss of cooling can overheat connected equipment; hot-surface injury potential is moderate.</t>
  </si>
  <si>
    <t xml:space="preserve">F2 Production loss and downtime</t>
  </si>
  <si>
    <t xml:space="preserve">Cooling loss forces a line stop; restart and recovery assumed to take more than a day.</t>
  </si>
  <si>
    <t xml:space="preserve">F3 Environmental impact</t>
  </si>
  <si>
    <t xml:space="preserve">Water leakage is minor and drains on site.</t>
  </si>
  <si>
    <t xml:space="preserve">F4 Operational dependency and business continuity</t>
  </si>
  <si>
    <t xml:space="preserve">No standby; several users share the cooling loop.</t>
  </si>
  <si>
    <t xml:space="preserve">F5 Maintenance and repair consequences</t>
  </si>
  <si>
    <t xml:space="preserve">Routine centrifugal pump repair; spares assumed in stock.</t>
  </si>
  <si>
    <t xml:space="preserve">Loss of feed water can lead to low boiler level, a credible pressure-equipment hazard (assumed site context).</t>
  </si>
  <si>
    <t xml:space="preserve">Loss of steam supply stops the plant; prolonged outage if the boiler is damaged.</t>
  </si>
  <si>
    <t xml:space="preserve">Hot-water release is minor and contained.</t>
  </si>
  <si>
    <t xml:space="preserve">Sole feed to steam supply; no workaround.</t>
  </si>
  <si>
    <t xml:space="preserve">High-pressure multistage pump; long-lead spares and specialist repair assumed.</t>
  </si>
  <si>
    <t xml:space="preserve">No credible injury from failure.</t>
  </si>
  <si>
    <t xml:space="preserve">Standby takes over; no production effect.</t>
  </si>
  <si>
    <t xml:space="preserve">Minor overflow of drainage water on site possible.</t>
  </si>
  <si>
    <t xml:space="preserve">Automatic standby; no dependency.</t>
  </si>
  <si>
    <t xml:space="preserve">Simple repair with stock spares.</t>
  </si>
  <si>
    <t xml:space="preserve">Seal failure could release flammable liquid; credible fire potential.</t>
  </si>
  <si>
    <t xml:space="preserve">Standby covers the duty after a short disruption.</t>
  </si>
  <si>
    <t xml:space="preserve">Release could exceed local containment and be reportable (assumed).</t>
  </si>
  <si>
    <t xml:space="preserve">Standby with manual changeover.</t>
  </si>
  <si>
    <t xml:space="preserve">Seal and routine repair; spares assumed available.</t>
  </si>
  <si>
    <t xml:space="preserve">Electrical and hot-surface hazards are moderate.</t>
  </si>
  <si>
    <t xml:space="preserve">Motor failure causes the same loss of cooling as pump failure.</t>
  </si>
  <si>
    <t xml:space="preserve">No release from a motor failure.</t>
  </si>
  <si>
    <t xml:space="preserve">Same dependency as the driven pump.</t>
  </si>
  <si>
    <t xml:space="preserve">Rewind or replacement takes longer than a pump repair.</t>
  </si>
  <si>
    <t xml:space="preserve">Moving-machinery hazard on the conveyor; medical-treatment injury possible.</t>
  </si>
  <si>
    <t xml:space="preserve">Line stops for part of a day while the spare is fitted.</t>
  </si>
  <si>
    <t xml:space="preserve">No release.</t>
  </si>
  <si>
    <t xml:space="preserve">Partial backup through the stored spare.</t>
  </si>
  <si>
    <t xml:space="preserve">Change-out within a shift using the stored spare.</t>
  </si>
  <si>
    <t xml:space="preserve">No credible injury.</t>
  </si>
  <si>
    <t xml:space="preserve">No dependency.</t>
  </si>
  <si>
    <t xml:space="preserve">Simple, low-cost replacement.</t>
  </si>
  <si>
    <t xml:space="preserve">Loss of instrument air can send control valves to fail positions; serious process upset possible.</t>
  </si>
  <si>
    <t xml:space="preserve">Air loss trips the plant; recovery is prolonged.</t>
  </si>
  <si>
    <t xml:space="preserve">Compressor oil leak is minor.</t>
  </si>
  <si>
    <t xml:space="preserve">Single air supply; no backup.</t>
  </si>
  <si>
    <t xml:space="preserve">Air-end overhaul needs specialist work and long-lead parts.</t>
  </si>
  <si>
    <t xml:space="preserve">Pressurised-air and hot-surface hazards are minor.</t>
  </si>
  <si>
    <t xml:space="preserve">Standby covers most demand; short reduction in rate.</t>
  </si>
  <si>
    <t xml:space="preserve">Oil leak is minor and contained.</t>
  </si>
  <si>
    <t xml:space="preserve">Repairs take 1 to 2 days; spares from supplier.</t>
  </si>
  <si>
    <t xml:space="preserve">Pressurised-air hazard is minor.</t>
  </si>
  <si>
    <t xml:space="preserve">Minor oil leak possible.</t>
  </si>
  <si>
    <t xml:space="preserve">No dependency; intermittent use.</t>
  </si>
  <si>
    <t xml:space="preserve">Repair within a shift.</t>
  </si>
  <si>
    <t xml:space="preserve">field_name</t>
  </si>
  <si>
    <t xml:space="preserve">description</t>
  </si>
  <si>
    <t xml:space="preserve">suggested data type</t>
  </si>
  <si>
    <t xml:space="preserve">mandatory / optional</t>
  </si>
  <si>
    <t xml:space="preserve">allowed values / range</t>
  </si>
  <si>
    <t xml:space="preserve">source</t>
  </si>
  <si>
    <t xml:space="preserve">example</t>
  </si>
  <si>
    <t xml:space="preserve">integration note</t>
  </si>
  <si>
    <t xml:space="preserve">Unique ID of one assessment record.</t>
  </si>
  <si>
    <t xml:space="preserve">VARCHAR(20), PK</t>
  </si>
  <si>
    <t xml:space="preserve">Mandatory</t>
  </si>
  <si>
    <t xml:space="preserve">Format CRA-nnnn</t>
  </si>
  <si>
    <t xml:space="preserve">Input</t>
  </si>
  <si>
    <t xml:space="preserve">Primary key of the assessment table.</t>
  </si>
  <si>
    <t xml:space="preserve">Installed asset assessed.</t>
  </si>
  <si>
    <t xml:space="preserve">VARCHAR, FK to Asset_Instance.asset_id</t>
  </si>
  <si>
    <t xml:space="preserve">Existing AST- ID</t>
  </si>
  <si>
    <t xml:space="preserve">Criticality attaches to the asset instance, not to the equipment type or a case.</t>
  </si>
  <si>
    <t xml:space="preserve">Plant tag of the asset.</t>
  </si>
  <si>
    <t xml:space="preserve">VARCHAR</t>
  </si>
  <si>
    <t xml:space="preserve">Optional</t>
  </si>
  <si>
    <t xml:space="preserve">Free text</t>
  </si>
  <si>
    <t xml:space="preserve">Input / lookup</t>
  </si>
  <si>
    <t xml:space="preserve">Denormalised for readability; source of truth is the asset table.</t>
  </si>
  <si>
    <t xml:space="preserve">Equipment class of the asset.</t>
  </si>
  <si>
    <t xml:space="preserve">VARCHAR, FK to Equipment_Class</t>
  </si>
  <si>
    <t xml:space="preserve">EQ-PUMP, EQ-MOTOR, EQ-COMP</t>
  </si>
  <si>
    <t xml:space="preserve">Lookup from type</t>
  </si>
  <si>
    <t xml:space="preserve">Enables filtering by class; must match the asset's type.</t>
  </si>
  <si>
    <t xml:space="preserve">Equipment type of the asset.</t>
  </si>
  <si>
    <t xml:space="preserve">VARCHAR, FK to Equipment_Type</t>
  </si>
  <si>
    <t xml:space="preserve">TY- ID</t>
  </si>
  <si>
    <t xml:space="preserve">Lookup from asset</t>
  </si>
  <si>
    <t xml:space="preserve">Links the assessment to the approved hierarchy.</t>
  </si>
  <si>
    <t xml:space="preserve">service_context</t>
  </si>
  <si>
    <t xml:space="preserve">Short description of duty, standby and dependants used when scoring.</t>
  </si>
  <si>
    <t xml:space="preserve">TEXT</t>
  </si>
  <si>
    <t xml:space="preserve">Cooling-water pump, no standby</t>
  </si>
  <si>
    <t xml:space="preserve">Required so another assessor can reproduce the scores.</t>
  </si>
  <si>
    <t xml:space="preserve">assessment_date</t>
  </si>
  <si>
    <t xml:space="preserve">Date the assessment was made.</t>
  </si>
  <si>
    <t xml:space="preserve">DATE</t>
  </si>
  <si>
    <t xml:space="preserve">Valid date</t>
  </si>
  <si>
    <t xml:space="preserve">2026-10-25</t>
  </si>
  <si>
    <t xml:space="preserve">Used with is_current to pick the latest assessment.</t>
  </si>
  <si>
    <t xml:space="preserve">assessor_name</t>
  </si>
  <si>
    <t xml:space="preserve">Person who scored the asset.</t>
  </si>
  <si>
    <t xml:space="preserve">(name)</t>
  </si>
  <si>
    <t xml:space="preserve">Illustrative examples carry no assessor.</t>
  </si>
  <si>
    <t xml:space="preserve">reviewer_name</t>
  </si>
  <si>
    <t xml:space="preserve">Person who reviewed the scores.</t>
  </si>
  <si>
    <t xml:space="preserve">Optional until status = Reviewed</t>
  </si>
  <si>
    <t xml:space="preserve">Needed before approval.</t>
  </si>
  <si>
    <t xml:space="preserve">framework_version</t>
  </si>
  <si>
    <t xml:space="preserve">Version of this framework used.</t>
  </si>
  <si>
    <t xml:space="preserve">VARCHAR(10)</t>
  </si>
  <si>
    <t xml:space="preserve">e.g. v1.0</t>
  </si>
  <si>
    <t xml:space="preserve">v1.0</t>
  </si>
  <si>
    <t xml:space="preserve">Supports reproducibility when the framework changes.</t>
  </si>
  <si>
    <t xml:space="preserve">weights_version</t>
  </si>
  <si>
    <t xml:space="preserve">Version of the weight set used.</t>
  </si>
  <si>
    <t xml:space="preserve">e.g. W1.0</t>
  </si>
  <si>
    <t xml:space="preserve">W1.0</t>
  </si>
  <si>
    <t xml:space="preserve">Store weights in a parameter table keyed by this value.</t>
  </si>
  <si>
    <t xml:space="preserve">Factor F1 score.</t>
  </si>
  <si>
    <t xml:space="preserve">SMALLINT, CHECK 1-5</t>
  </si>
  <si>
    <t xml:space="preserve">1 to 5</t>
  </si>
  <si>
    <t xml:space="preserve">3</t>
  </si>
  <si>
    <t xml:space="preserve">Factor F2 score.</t>
  </si>
  <si>
    <t xml:space="preserve">4</t>
  </si>
  <si>
    <t xml:space="preserve">Factor F3 score.</t>
  </si>
  <si>
    <t xml:space="preserve">2</t>
  </si>
  <si>
    <t xml:space="preserve">Factor F4 score.</t>
  </si>
  <si>
    <t xml:space="preserve">Factor F5 score.</t>
  </si>
  <si>
    <t xml:space="preserve">rationale_safety / _production / _environment / _dependency / _maintenance</t>
  </si>
  <si>
    <t xml:space="preserve">Reason for each score (five text fields).</t>
  </si>
  <si>
    <t xml:space="preserve">Mandatory when the score is 4 or 5; otherwise recommended</t>
  </si>
  <si>
    <t xml:space="preserve">Loss of cooling forces a line stop</t>
  </si>
  <si>
    <t xml:space="preserve">Gives auditability. Optional extra context for retrieval.</t>
  </si>
  <si>
    <t xml:space="preserve">Sum of score x weight.</t>
  </si>
  <si>
    <t xml:space="preserve">NUMERIC(3,2)</t>
  </si>
  <si>
    <t xml:space="preserve">Calculated</t>
  </si>
  <si>
    <t xml:space="preserve">1.00 to 5.00</t>
  </si>
  <si>
    <t xml:space="preserve">3.10</t>
  </si>
  <si>
    <t xml:space="preserve">Compute in the database or application; do not type by hand.</t>
  </si>
  <si>
    <t xml:space="preserve">Weighted score x 20.</t>
  </si>
  <si>
    <t xml:space="preserve">NUMERIC(4,1)</t>
  </si>
  <si>
    <t xml:space="preserve">20.0 to 100.0</t>
  </si>
  <si>
    <t xml:space="preserve">62.0</t>
  </si>
  <si>
    <t xml:space="preserve">Main numeric filter and ranking value.</t>
  </si>
  <si>
    <t xml:space="preserve">Category from the index bands before overrides.</t>
  </si>
  <si>
    <t xml:space="preserve">VARCHAR enum</t>
  </si>
  <si>
    <t xml:space="preserve">Low, Medium, High, Critical</t>
  </si>
  <si>
    <t xml:space="preserve">Override rules that apply (R1 to R4).</t>
  </si>
  <si>
    <t xml:space="preserve">R1..R4 or None</t>
  </si>
  <si>
    <t xml:space="preserve">R1 R3</t>
  </si>
  <si>
    <t xml:space="preserve">Several rules can apply at once.</t>
  </si>
  <si>
    <t xml:space="preserve">Category after overrides.</t>
  </si>
  <si>
    <t xml:space="preserve">Calculated, mandatory</t>
  </si>
  <si>
    <t xml:space="preserve">The value used by other modules.</t>
  </si>
  <si>
    <t xml:space="preserve">Whether an override raised the category.</t>
  </si>
  <si>
    <t xml:space="preserve">BOOLEAN</t>
  </si>
  <si>
    <t xml:space="preserve">Yes / No</t>
  </si>
  <si>
    <t xml:space="preserve">No</t>
  </si>
  <si>
    <t xml:space="preserve">Useful for QA of override rules.</t>
  </si>
  <si>
    <t xml:space="preserve">assessment_status</t>
  </si>
  <si>
    <t xml:space="preserve">Workflow status.</t>
  </si>
  <si>
    <t xml:space="preserve">Draft, Reviewed, Approved, Superseded</t>
  </si>
  <si>
    <t xml:space="preserve">Draft</t>
  </si>
  <si>
    <t xml:space="preserve">Only Approved assessments are treated as current.</t>
  </si>
  <si>
    <t xml:space="preserve">How the record was produced.</t>
  </si>
  <si>
    <t xml:space="preserve">Synthetic Scenario, Site Assessment</t>
  </si>
  <si>
    <t xml:space="preserve">Aligned with the KB 'Case Origin' wording; never label assumed examples as site data.</t>
  </si>
  <si>
    <t xml:space="preserve">is_current</t>
  </si>
  <si>
    <t xml:space="preserve">Marks the latest approved assessment of the asset.</t>
  </si>
  <si>
    <t xml:space="preserve">TRUE / FALSE</t>
  </si>
  <si>
    <t xml:space="preserve">Input / system</t>
  </si>
  <si>
    <t xml:space="preserve">TRUE</t>
  </si>
  <si>
    <t xml:space="preserve">At most one TRUE per asset_id.</t>
  </si>
  <si>
    <t xml:space="preserve">next_review_date</t>
  </si>
  <si>
    <t xml:space="preserve">When the asset must be reassessed.</t>
  </si>
  <si>
    <t xml:space="preserve">2027-10-25</t>
  </si>
  <si>
    <t xml:space="preserve">Proposal: 12 months after assessment_date.</t>
  </si>
  <si>
    <t xml:space="preserve">notes</t>
  </si>
  <si>
    <t xml:space="preserve">Other remarks.</t>
  </si>
  <si>
    <t xml:space="preserve">Alignment note</t>
  </si>
  <si>
    <t xml:space="preserve">Level of criticality</t>
  </si>
  <si>
    <t xml:space="preserve">Installed asset instance (AST- ID, e.g. P-101). Equipment type and class are inherited for filtering.</t>
  </si>
  <si>
    <t xml:space="preserve">Link keys</t>
  </si>
  <si>
    <t xml:space="preserve">asset_id -&gt; Asset_Instance; type_id -&gt; Equipment_Type (TY-); class_id -&gt; Equipment_Class (EQ-). IDs follow G1_Equipment_Hierarchy_v1.0.xlsx.</t>
  </si>
  <si>
    <t xml:space="preserve">Components (CP-)</t>
  </si>
  <si>
    <t xml:space="preserve">Components inherit the criticality of their parent asset by default. Component-level scoring is not defined in Sprint 1.</t>
  </si>
  <si>
    <t xml:space="preserve">Types in scope</t>
  </si>
  <si>
    <t xml:space="preserve">TY-PUMP-CENT, TY-MOTOR-IM3, TY-COMP-SCREW (as in the hierarchy). Reciprocating compressor is out of scope.</t>
  </si>
  <si>
    <t xml:space="preserve">Hierarchy status</t>
  </si>
  <si>
    <t xml:space="preserve">DRAFT - the approved hierarchy is a dependency. Re-check IDs once approved.</t>
  </si>
  <si>
    <t xml:space="preserve">Example assets</t>
  </si>
  <si>
    <t xml:space="preserve">AST-0001 (P-101), AST-0002 (M-101) and AST-0003 (C-101) exist in the hierarchy Asset_Instance sheet. AST-0004, 0007, 0008, 0009, 0010, 0011 and 0012 are ILLUSTRATIVE additions; Group 2 must add real assets to the asset table.</t>
  </si>
  <si>
    <t xml:space="preserve">Case severity vs asset criticality</t>
  </si>
  <si>
    <t xml:space="preserve">The KB column 'Severity (proposed, unreviewed)' describes the seriousness of a failure case. Asset criticality describes the consequence of losing an asset. Keep them as two separate fields.</t>
  </si>
  <si>
    <t xml:space="preserve">source_id</t>
  </si>
  <si>
    <t xml:space="preserve">title</t>
  </si>
  <si>
    <t xml:space="preserve">publisher / author</t>
  </si>
  <si>
    <t xml:space="preserve">edition / year</t>
  </si>
  <si>
    <t xml:space="preserve">type</t>
  </si>
  <si>
    <t xml:space="preserve">link / identifier</t>
  </si>
  <si>
    <t xml:space="preserve">access level (what was actually checked)</t>
  </si>
  <si>
    <t xml:space="preserve">what it was used for</t>
  </si>
  <si>
    <t xml:space="preserve">limitation</t>
  </si>
  <si>
    <t xml:space="preserve">reliability for this use</t>
  </si>
  <si>
    <t xml:space="preserve">S01</t>
  </si>
  <si>
    <t xml:space="preserve">ISO 55000:2014 Asset management - Overview, principles and terminology</t>
  </si>
  <si>
    <t xml:space="preserve">ISO</t>
  </si>
  <si>
    <t xml:space="preserve">2014 (a revised edition is listed in catalogues; confirm current)</t>
  </si>
  <si>
    <t xml:space="preserve">Standard</t>
  </si>
  <si>
    <t xml:space="preserve">ISO 55000:2014; catalogue record https://www.dinmedia.de/en/standard/din-iso-55000/271015717</t>
  </si>
  <si>
    <t xml:space="preserve">Catalogue / abstract only</t>
  </si>
  <si>
    <t xml:space="preserve">Asset-management context: asset value, risk-informed decisions, asset information.</t>
  </si>
  <si>
    <t xml:space="preserve">Context only. No scale or weight is taken from it.</t>
  </si>
  <si>
    <t xml:space="preserve">S02</t>
  </si>
  <si>
    <t xml:space="preserve">IEC 60812 Procedure for failure mode and effects analysis (FMEA)</t>
  </si>
  <si>
    <t xml:space="preserve">IEC</t>
  </si>
  <si>
    <t xml:space="preserve">Edition to confirm (2006 2nd edition preview seen)</t>
  </si>
  <si>
    <t xml:space="preserve">https://webstore.iec.ch/publication/3571</t>
  </si>
  <si>
    <t xml:space="preserve">Catalogue / contents preview only</t>
  </si>
  <si>
    <t xml:space="preserve">Separates failure-mode severity from asset-level criticality.</t>
  </si>
  <si>
    <t xml:space="preserve">Context only. Not used for scales.</t>
  </si>
  <si>
    <t xml:space="preserve">S03</t>
  </si>
  <si>
    <t xml:space="preserve">IEC 31010:2019 Risk management - Risk assessment techniques</t>
  </si>
  <si>
    <t xml:space="preserve">2019 (Edition 2)</t>
  </si>
  <si>
    <t xml:space="preserve">https://webstore.iec.ch/publication/59809</t>
  </si>
  <si>
    <t xml:space="preserve">Lists consequence/likelihood matrices and multi-criteria decision analysis among recognised techniques; the weighted score here is a simple multi-criteria approach.</t>
  </si>
  <si>
    <t xml:space="preserve">Context only. Technique descriptions were not read.</t>
  </si>
  <si>
    <t xml:space="preserve">S04</t>
  </si>
  <si>
    <t xml:space="preserve">SAE JA1011 Evaluation criteria for reliability-centered maintenance (RCM) processes</t>
  </si>
  <si>
    <t xml:space="preserve">SAE International</t>
  </si>
  <si>
    <t xml:space="preserve">1999; revised 2009; a 2024 version is listed</t>
  </si>
  <si>
    <t xml:space="preserve">https://saemobilus.sae.org/content/ja1011_200908/</t>
  </si>
  <si>
    <t xml:space="preserve">Context: criticality ranking commonly feeds RCM and maintenance-strategy selection.</t>
  </si>
  <si>
    <t xml:space="preserve">Context only.</t>
  </si>
  <si>
    <t xml:space="preserve">S05</t>
  </si>
  <si>
    <t xml:space="preserve">Asset Criticality Ranking: How to Prioritize What Actually Matters</t>
  </si>
  <si>
    <t xml:space="preserve">Reliable Plant / Reliabilityweb (practitioner article)</t>
  </si>
  <si>
    <t xml:space="preserve">Undated in excerpt</t>
  </si>
  <si>
    <t xml:space="preserve">Practitioner article</t>
  </si>
  <si>
    <t xml:space="preserve">https://reliamag.com/articles/asset-criticality-ranking-prioritize/</t>
  </si>
  <si>
    <t xml:space="preserve">Partly read (excerpts via web search)</t>
  </si>
  <si>
    <t xml:space="preserve">Factor families (safety and environment, production, replaceability), cross-functional scoring, tiers, illustrative numbers.</t>
  </si>
  <si>
    <t xml:space="preserve">Used for factor selection and the cross-functional review principle. Its numbers are illustrative and were not adopted.</t>
  </si>
  <si>
    <t xml:space="preserve">S06</t>
  </si>
  <si>
    <t xml:space="preserve">Equipment Criticality Matrix: How to Decide Where Reliability Effort Pays Off</t>
  </si>
  <si>
    <t xml:space="preserve">Fabrico (vendor guide)</t>
  </si>
  <si>
    <t xml:space="preserve">Vendor guide</t>
  </si>
  <si>
    <t xml:space="preserve">https://www.fabrico.io/blog/equipment-criticality-matrix/</t>
  </si>
  <si>
    <t xml:space="preserve">Typical dimensions (production, safety, environmental, regulatory, repair cost, replacement lead time); 5 to 7 dimensions; annual review; avoid inflating criticality.</t>
  </si>
  <si>
    <t xml:space="preserve">Used for factor list, review frequency and inflation warning. Vendor source: lower weight.</t>
  </si>
  <si>
    <t xml:space="preserve">S07</t>
  </si>
  <si>
    <t xml:space="preserve">How to Rank Conveyor Systems Criticality for RCM Programs</t>
  </si>
  <si>
    <t xml:space="preserve">OxMaint (vendor guide)</t>
  </si>
  <si>
    <t xml:space="preserve">https://oxmaint.com/blog/post/how-to-rank-conveyor-systems-criticality-for-rcm-programs</t>
  </si>
  <si>
    <t xml:space="preserve">Example of a weighted 1 to 5 score across consequence dimensions.</t>
  </si>
  <si>
    <t xml:space="preserve">Concept only; its weights were NOT adopted. Vendor source: lower weight.</t>
  </si>
  <si>
    <t xml:space="preserve">S08</t>
  </si>
  <si>
    <t xml:space="preserve">ISO 14224:2016 Collection and exchange of reliability and maintenance data for equipment</t>
  </si>
  <si>
    <t xml:space="preserve">2016</t>
  </si>
  <si>
    <t xml:space="preserve">https://www.iso.org/standard/64076.html</t>
  </si>
  <si>
    <t xml:space="preserve">Catalogue only; full text not inspected</t>
  </si>
  <si>
    <t xml:space="preserve">Equipment taxonomy context for the hierarchy.</t>
  </si>
  <si>
    <t xml:space="preserve">Not used as a source for scoring. M01 to confirm whether any part is relevant to criticality.</t>
  </si>
  <si>
    <t xml:space="preserve">S09</t>
  </si>
  <si>
    <t xml:space="preserve">Operational Sense Industrial Knowledge Base v2.1</t>
  </si>
  <si>
    <t xml:space="preserve">Operational Sense team (internal)</t>
  </si>
  <si>
    <t xml:space="preserve">v2.1</t>
  </si>
  <si>
    <t xml:space="preserve">Internal workbook</t>
  </si>
  <si>
    <t xml:space="preserve">G1 repository</t>
  </si>
  <si>
    <t xml:space="preserve">Read (sheets relevant to severity and lists)</t>
  </si>
  <si>
    <t xml:space="preserve">Case-level 'Severity (proposed, unreviewed)' values (Low to Critical); Case Origin wording.</t>
  </si>
  <si>
    <t xml:space="preserve">Informs the separation of case severity and asset criticality. Synthetic, pending validation.</t>
  </si>
  <si>
    <t xml:space="preserve">S10</t>
  </si>
  <si>
    <t xml:space="preserve">G1_Equipment_Hierarchy_v1.0.xlsx (M03)</t>
  </si>
  <si>
    <t xml:space="preserve">Group 1 / M03 (internal)</t>
  </si>
  <si>
    <t xml:space="preserve">v1.0 DRAFT</t>
  </si>
  <si>
    <t xml:space="preserve">Read in full</t>
  </si>
  <si>
    <t xml:space="preserve">Class, type and asset IDs used for alignment.</t>
  </si>
  <si>
    <t xml:space="preserve">Draft; not yet approved.</t>
  </si>
  <si>
    <t xml:space="preserve">Access-level key: Read in full | Partly read | Catalogue / abstract only | Not verified. Standards were identified from catalogue records; their full text was not purchased or read. Practitioner and vendor sources are secondary and were used for concepts, not for numbers. Replace or supplement with site data and your supervisor's preferred references.</t>
  </si>
  <si>
    <t xml:space="preserve">#</t>
  </si>
  <si>
    <t xml:space="preserve">proposed integration requirement</t>
  </si>
  <si>
    <t xml:space="preserve">for</t>
  </si>
  <si>
    <t xml:space="preserve">status</t>
  </si>
  <si>
    <t xml:space="preserve">reviewer name</t>
  </si>
  <si>
    <t xml:space="preserve">review date / comments</t>
  </si>
  <si>
    <t xml:space="preserve">IR-01</t>
  </si>
  <si>
    <t xml:space="preserve">Store assessments in a separate table linked to the asset instance, not to the type or a case.</t>
  </si>
  <si>
    <t xml:space="preserve">Backend</t>
  </si>
  <si>
    <t xml:space="preserve">Proposed - review pending</t>
  </si>
  <si>
    <t xml:space="preserve">IR-02</t>
  </si>
  <si>
    <t xml:space="preserve">Keep history; allow one current approved assessment per asset (is_current).</t>
  </si>
  <si>
    <t xml:space="preserve">IR-03</t>
  </si>
  <si>
    <t xml:space="preserve">Persist framework_version and weights_version with each assessment so results stay reproducible.</t>
  </si>
  <si>
    <t xml:space="preserve">IR-04</t>
  </si>
  <si>
    <t xml:space="preserve">Calculate weighted_score, criticality_index, band and final category in the database or application; enforce CHECK 1-5 on scores.</t>
  </si>
  <si>
    <t xml:space="preserve">IR-05</t>
  </si>
  <si>
    <t xml:space="preserve">Use lookup tables or enums for category, status and data_origin.</t>
  </si>
  <si>
    <t xml:space="preserve">IR-06</t>
  </si>
  <si>
    <t xml:space="preserve">Expose final_category and criticality_index as filter and ranking metadata for retrieval; keep scores out of the embedding text by default.</t>
  </si>
  <si>
    <t xml:space="preserve">AI &amp; Retrieval</t>
  </si>
  <si>
    <t xml:space="preserve">IR-07</t>
  </si>
  <si>
    <t xml:space="preserve">Keep case severity (KB) and asset criticality as separate fields.</t>
  </si>
  <si>
    <t xml:space="preserve">Backend / AI &amp; Retrieval</t>
  </si>
  <si>
    <t xml:space="preserve">IR-08</t>
  </si>
  <si>
    <t xml:space="preserve">Components inherit the parent asset's criticality by default; no component-level scoring in Sprint 1.</t>
  </si>
  <si>
    <t xml:space="preserve">IR-09</t>
  </si>
  <si>
    <t xml:space="preserve">Support CSV import of assessments using the field names on Field_Definitions.</t>
  </si>
  <si>
    <t xml:space="preserve">Backend / QA</t>
  </si>
  <si>
    <t xml:space="preserve">IR-10</t>
  </si>
  <si>
    <t xml:space="preserve">Capture next_review_date so reassessment triggers can be tracked.</t>
  </si>
  <si>
    <t xml:space="preserve">Sign-off</t>
  </si>
  <si>
    <t xml:space="preserve">Role</t>
  </si>
  <si>
    <t xml:space="preserve">Name</t>
  </si>
  <si>
    <t xml:space="preserve">Date</t>
  </si>
  <si>
    <t xml:space="preserve">Outcome</t>
  </si>
  <si>
    <t xml:space="preserve">Backend &amp; Database (Group 2)</t>
  </si>
  <si>
    <t xml:space="preserve">Pending</t>
  </si>
  <si>
    <t xml:space="preserve">AI &amp; Retrieval (Group 3)</t>
  </si>
  <si>
    <t xml:space="preserve">Domain research (M01 / M02)</t>
  </si>
  <si>
    <t xml:space="preserve">QA &amp; Integration (Group 4)</t>
  </si>
  <si>
    <t xml:space="preserve">area</t>
  </si>
  <si>
    <t xml:space="preserve">issue</t>
  </si>
  <si>
    <t xml:space="preserve">owner (suggested)</t>
  </si>
  <si>
    <t xml:space="preserve">Approval</t>
  </si>
  <si>
    <t xml:space="preserve">Weights, bands, default time bands and override rules are team proposals; approval by the relevant workstreams is pending.</t>
  </si>
  <si>
    <t xml:space="preserve">Group 1 lead / supervisor</t>
  </si>
  <si>
    <t xml:space="preserve">Dependency</t>
  </si>
  <si>
    <t xml:space="preserve">Approved Industrial Equipment Hierarchy not yet available; framework aligned with the M03 draft.</t>
  </si>
  <si>
    <t xml:space="preserve">Group 1 / Group 4</t>
  </si>
  <si>
    <t xml:space="preserve">Calibration</t>
  </si>
  <si>
    <t xml:space="preserve">Production and repair time bands are generic defaults; calibrate with a site's production rates and shutdown costs.</t>
  </si>
  <si>
    <t xml:space="preserve">Operations input</t>
  </si>
  <si>
    <t xml:space="preserve">Method</t>
  </si>
  <si>
    <t xml:space="preserve">Failure likelihood is not scored (consequence-only). Decide whether a likelihood factor or a 5x5 risk matrix is wanted later.</t>
  </si>
  <si>
    <t xml:space="preserve">Team decision</t>
  </si>
  <si>
    <t xml:space="preserve">Regulatory exposure is folded into the Safety and Environmental scales. A separate factor is optional.</t>
  </si>
  <si>
    <t xml:space="preserve">Data</t>
  </si>
  <si>
    <t xml:space="preserve">Example contexts are assumed; asset IDs beyond AST-0003 are illustrative.</t>
  </si>
  <si>
    <t xml:space="preserve">M03 / Group 2</t>
  </si>
  <si>
    <t xml:space="preserve">Sensitivity</t>
  </si>
  <si>
    <t xml:space="preserve">CRA-0005 and CRA-0008 sit within 2 index points of a band boundary and change category if the Environmental weight rises by 5 points. Review with operations.</t>
  </si>
  <si>
    <t xml:space="preserve">Group 1</t>
  </si>
  <si>
    <t xml:space="preserve">Sources</t>
  </si>
  <si>
    <t xml:space="preserve">Standards were seen at catalogue level only; confirm current editions (ISO 55000, IEC 60812, SAE JA1011).</t>
  </si>
  <si>
    <t xml:space="preserve">M01</t>
  </si>
  <si>
    <t xml:space="preserve">Review</t>
  </si>
  <si>
    <t xml:space="preserve">Backend and AI &amp; Retrieval review not yet held.</t>
  </si>
  <si>
    <t xml:space="preserve">Group 4 (M12)</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</si>
</sst>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b val="true"/>
      <sz val="11"/>
      <name val="Arial"/>
      <family val="0"/>
      <charset val="1"/>
    </font>
    <font>
      <i val="true"/>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2B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7" fillId="3"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4B6B6"/>
        </patternFill>
      </fill>
    </dxf>
    <dxf>
      <fill>
        <patternFill>
          <bgColor rgb="FFF9D5A7"/>
        </patternFill>
      </fill>
    </dxf>
    <dxf>
      <fill>
        <patternFill>
          <bgColor rgb="FFFFF2B3"/>
        </patternFill>
      </fill>
    </dxf>
    <dxf>
      <fill>
        <patternFill>
          <bgColor rgb="FFCDE8C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DE8C4"/>
      <rgbColor rgb="FFFFF2B3"/>
      <rgbColor rgb="FF99CCFF"/>
      <rgbColor rgb="FFF4B6B6"/>
      <rgbColor rgb="FFCC99FF"/>
      <rgbColor rgb="FFF9D5A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0"/>
  </cols>
  <sheetData>
    <row r="1" customFormat="false" ht="15" hidden="false" customHeight="false" outlineLevel="0" collapsed="false">
      <c r="A1" s="1" t="s">
        <v>0</v>
      </c>
      <c r="B1" s="1" t="s">
        <v>1</v>
      </c>
    </row>
    <row r="2" customFormat="false" ht="15" hidden="false" customHeight="false" outlineLevel="0" collapsed="false">
      <c r="A2" s="2" t="s">
        <v>2</v>
      </c>
      <c r="B2" s="3" t="s">
        <v>3</v>
      </c>
    </row>
    <row r="3" customFormat="false" ht="23.85" hidden="false" customHeight="false" outlineLevel="0" collapsed="false">
      <c r="A3" s="2" t="s">
        <v>4</v>
      </c>
      <c r="B3" s="3" t="s">
        <v>5</v>
      </c>
    </row>
    <row r="4" customFormat="false" ht="23.85" hidden="false" customHeight="false" outlineLevel="0" collapsed="false">
      <c r="A4" s="2" t="s">
        <v>6</v>
      </c>
      <c r="B4" s="3" t="s">
        <v>7</v>
      </c>
    </row>
    <row r="5" customFormat="false" ht="23.85" hidden="false" customHeight="false" outlineLevel="0" collapsed="false">
      <c r="A5" s="2" t="s">
        <v>8</v>
      </c>
      <c r="B5" s="3" t="s">
        <v>9</v>
      </c>
    </row>
    <row r="6" customFormat="false" ht="23.85" hidden="false" customHeight="false" outlineLevel="0" collapsed="false">
      <c r="A6" s="2" t="s">
        <v>10</v>
      </c>
      <c r="B6" s="3" t="s">
        <v>11</v>
      </c>
    </row>
    <row r="7" customFormat="false" ht="23.85" hidden="false" customHeight="false" outlineLevel="0" collapsed="false">
      <c r="A7" s="2" t="s">
        <v>12</v>
      </c>
      <c r="B7" s="3" t="s">
        <v>13</v>
      </c>
    </row>
    <row r="8" customFormat="false" ht="23.85" hidden="false" customHeight="false" outlineLevel="0" collapsed="false">
      <c r="A8" s="2" t="s">
        <v>14</v>
      </c>
      <c r="B8" s="3" t="s">
        <v>15</v>
      </c>
    </row>
    <row r="9" customFormat="false" ht="15" hidden="false" customHeight="false" outlineLevel="0" collapsed="false">
      <c r="A9" s="2" t="s">
        <v>16</v>
      </c>
      <c r="B9" s="3" t="s">
        <v>17</v>
      </c>
    </row>
    <row r="10" customFormat="false" ht="15" hidden="false" customHeight="false" outlineLevel="0" collapsed="false">
      <c r="A10" s="2" t="s">
        <v>18</v>
      </c>
      <c r="B10" s="3" t="s">
        <v>19</v>
      </c>
    </row>
    <row r="11" customFormat="false" ht="15" hidden="false" customHeight="false" outlineLevel="0" collapsed="false">
      <c r="A11" s="2" t="s">
        <v>20</v>
      </c>
      <c r="B11"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6"/>
  </cols>
  <sheetData>
    <row r="1" customFormat="false" ht="15" hidden="false" customHeight="false" outlineLevel="0" collapsed="false">
      <c r="A1" s="4" t="s">
        <v>22</v>
      </c>
      <c r="B1" s="4" t="s">
        <v>23</v>
      </c>
      <c r="C1" s="4" t="s">
        <v>24</v>
      </c>
    </row>
    <row r="2" customFormat="false" ht="15" hidden="false" customHeight="false" outlineLevel="0" collapsed="false">
      <c r="A2" s="5" t="s">
        <v>25</v>
      </c>
      <c r="B2" s="5" t="n">
        <f aca="false">COUNTIF(Assessments!$S$2:$S$200,A2)</f>
        <v>3</v>
      </c>
      <c r="C2" s="6" t="n">
        <f aca="false">IF($B$6=0,0,B2/$B$6)</f>
        <v>0.3</v>
      </c>
    </row>
    <row r="3" customFormat="false" ht="15" hidden="false" customHeight="false" outlineLevel="0" collapsed="false">
      <c r="A3" s="5" t="s">
        <v>26</v>
      </c>
      <c r="B3" s="5" t="n">
        <f aca="false">COUNTIF(Assessments!$S$2:$S$200,A3)</f>
        <v>2</v>
      </c>
      <c r="C3" s="6" t="n">
        <f aca="false">IF($B$6=0,0,B3/$B$6)</f>
        <v>0.2</v>
      </c>
    </row>
    <row r="4" customFormat="false" ht="15" hidden="false" customHeight="false" outlineLevel="0" collapsed="false">
      <c r="A4" s="5" t="s">
        <v>27</v>
      </c>
      <c r="B4" s="5" t="n">
        <f aca="false">COUNTIF(Assessments!$S$2:$S$200,A4)</f>
        <v>2</v>
      </c>
      <c r="C4" s="6" t="n">
        <f aca="false">IF($B$6=0,0,B4/$B$6)</f>
        <v>0.2</v>
      </c>
    </row>
    <row r="5" customFormat="false" ht="15" hidden="false" customHeight="false" outlineLevel="0" collapsed="false">
      <c r="A5" s="5" t="s">
        <v>28</v>
      </c>
      <c r="B5" s="5" t="n">
        <f aca="false">COUNTIF(Assessments!$S$2:$S$200,A5)</f>
        <v>3</v>
      </c>
      <c r="C5" s="6" t="n">
        <f aca="false">IF($B$6=0,0,B5/$B$6)</f>
        <v>0.3</v>
      </c>
    </row>
    <row r="6" customFormat="false" ht="15" hidden="false" customHeight="false" outlineLevel="0" collapsed="false">
      <c r="A6" s="7" t="s">
        <v>29</v>
      </c>
      <c r="B6" s="7" t="n">
        <f aca="false">SUM(B2:B5)</f>
        <v>10</v>
      </c>
      <c r="C6" s="8" t="n">
        <f aca="false">SUM(C2:C5)</f>
        <v>1</v>
      </c>
    </row>
    <row r="7" customFormat="false" ht="15" hidden="false" customHeight="false" outlineLevel="0" collapsed="false">
      <c r="A7" s="5"/>
      <c r="B7" s="5"/>
      <c r="C7" s="5"/>
    </row>
    <row r="8" customFormat="false" ht="15" hidden="false" customHeight="false" outlineLevel="0" collapsed="false">
      <c r="A8" s="4" t="s">
        <v>30</v>
      </c>
      <c r="B8" s="4" t="s">
        <v>23</v>
      </c>
      <c r="C8" s="4" t="s">
        <v>31</v>
      </c>
    </row>
    <row r="9" customFormat="false" ht="15" hidden="false" customHeight="false" outlineLevel="0" collapsed="false">
      <c r="A9" s="5" t="s">
        <v>32</v>
      </c>
      <c r="B9" s="5" t="n">
        <f aca="false">COUNTIF(Assessments!$D$2:$D$200,A9)</f>
        <v>4</v>
      </c>
      <c r="C9" s="9" t="n">
        <f aca="false">IF(B9=0,0,AVERAGEIF(Assessments!$D$2:$D$200,A9,Assessments!$M$2:$M$200))</f>
        <v>59.25</v>
      </c>
    </row>
    <row r="10" customFormat="false" ht="15" hidden="false" customHeight="false" outlineLevel="0" collapsed="false">
      <c r="A10" s="5" t="s">
        <v>33</v>
      </c>
      <c r="B10" s="5" t="n">
        <f aca="false">COUNTIF(Assessments!$D$2:$D$200,A10)</f>
        <v>3</v>
      </c>
      <c r="C10" s="9" t="n">
        <f aca="false">IF(B10=0,0,AVERAGEIF(Assessments!$D$2:$D$200,A10,Assessments!$M$2:$M$200))</f>
        <v>44.3333333333333</v>
      </c>
    </row>
    <row r="11" customFormat="false" ht="15" hidden="false" customHeight="false" outlineLevel="0" collapsed="false">
      <c r="A11" s="5" t="s">
        <v>34</v>
      </c>
      <c r="B11" s="5" t="n">
        <f aca="false">COUNTIF(Assessments!$D$2:$D$200,A11)</f>
        <v>3</v>
      </c>
      <c r="C11" s="9" t="n">
        <f aca="false">IF(B11=0,0,AVERAGEIF(Assessments!$D$2:$D$200,A11,Assessments!$M$2:$M$200))</f>
        <v>52.3333333333333</v>
      </c>
    </row>
    <row r="12" customFormat="false" ht="15" hidden="false" customHeight="false" outlineLevel="0" collapsed="false">
      <c r="A12" s="5"/>
      <c r="B12" s="5"/>
      <c r="C12" s="5"/>
    </row>
    <row r="13" customFormat="false" ht="15" hidden="false" customHeight="false" outlineLevel="0" collapsed="false">
      <c r="A13" s="5" t="s">
        <v>35</v>
      </c>
      <c r="B13" s="5" t="n">
        <f aca="false">COUNTIF(Assessments!$T$2:$T$200,"Yes")</f>
        <v>1</v>
      </c>
      <c r="C13" s="5"/>
    </row>
    <row r="14" customFormat="false" ht="15" hidden="false" customHeight="false" outlineLevel="0" collapsed="false">
      <c r="A14" s="5" t="s">
        <v>36</v>
      </c>
      <c r="B14" s="5" t="str">
        <f aca="false">Parameters!B8</f>
        <v>OK</v>
      </c>
      <c r="C14"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60"/>
    <col collapsed="false" customWidth="true" hidden="false" outlineLevel="0" max="4" min="4" style="0" width="70"/>
    <col collapsed="false" customWidth="true" hidden="false" outlineLevel="0" max="5" min="5" style="0" width="14"/>
    <col collapsed="false" customWidth="true" hidden="false" outlineLevel="0" max="6" min="6" style="0" width="40"/>
  </cols>
  <sheetData>
    <row r="1" customFormat="false" ht="23.85" hidden="false" customHeight="false" outlineLevel="0" collapsed="false">
      <c r="A1" s="1" t="s">
        <v>37</v>
      </c>
      <c r="B1" s="1" t="s">
        <v>38</v>
      </c>
      <c r="C1" s="1" t="s">
        <v>39</v>
      </c>
      <c r="D1" s="1" t="s">
        <v>40</v>
      </c>
      <c r="E1" s="1" t="s">
        <v>41</v>
      </c>
      <c r="F1" s="1" t="s">
        <v>42</v>
      </c>
    </row>
    <row r="2" customFormat="false" ht="23.85" hidden="false" customHeight="false" outlineLevel="0" collapsed="false">
      <c r="A2" s="3" t="s">
        <v>43</v>
      </c>
      <c r="B2" s="3" t="s">
        <v>44</v>
      </c>
      <c r="C2" s="3" t="s">
        <v>45</v>
      </c>
      <c r="D2" s="3" t="s">
        <v>46</v>
      </c>
      <c r="E2" s="10" t="n">
        <f aca="false">Parameters!B2</f>
        <v>0.3</v>
      </c>
      <c r="F2" s="3" t="s">
        <v>47</v>
      </c>
    </row>
    <row r="3" customFormat="false" ht="23.85" hidden="false" customHeight="false" outlineLevel="0" collapsed="false">
      <c r="A3" s="3" t="s">
        <v>48</v>
      </c>
      <c r="B3" s="3" t="s">
        <v>49</v>
      </c>
      <c r="C3" s="3" t="s">
        <v>50</v>
      </c>
      <c r="D3" s="3" t="s">
        <v>51</v>
      </c>
      <c r="E3" s="10" t="n">
        <f aca="false">Parameters!B3</f>
        <v>0.25</v>
      </c>
      <c r="F3" s="3" t="s">
        <v>47</v>
      </c>
    </row>
    <row r="4" customFormat="false" ht="23.85" hidden="false" customHeight="false" outlineLevel="0" collapsed="false">
      <c r="A4" s="3" t="s">
        <v>52</v>
      </c>
      <c r="B4" s="3" t="s">
        <v>53</v>
      </c>
      <c r="C4" s="3" t="s">
        <v>54</v>
      </c>
      <c r="D4" s="3" t="s">
        <v>55</v>
      </c>
      <c r="E4" s="10" t="n">
        <f aca="false">Parameters!B4</f>
        <v>0.15</v>
      </c>
      <c r="F4" s="3" t="s">
        <v>47</v>
      </c>
    </row>
    <row r="5" customFormat="false" ht="23.85" hidden="false" customHeight="false" outlineLevel="0" collapsed="false">
      <c r="A5" s="3" t="s">
        <v>56</v>
      </c>
      <c r="B5" s="3" t="s">
        <v>57</v>
      </c>
      <c r="C5" s="3" t="s">
        <v>58</v>
      </c>
      <c r="D5" s="3" t="s">
        <v>59</v>
      </c>
      <c r="E5" s="10" t="n">
        <f aca="false">Parameters!B5</f>
        <v>0.15</v>
      </c>
      <c r="F5" s="3" t="s">
        <v>47</v>
      </c>
    </row>
    <row r="6" customFormat="false" ht="23.85" hidden="false" customHeight="false" outlineLevel="0" collapsed="false">
      <c r="A6" s="3" t="s">
        <v>60</v>
      </c>
      <c r="B6" s="3" t="s">
        <v>61</v>
      </c>
      <c r="C6" s="3" t="s">
        <v>62</v>
      </c>
      <c r="D6" s="3" t="s">
        <v>63</v>
      </c>
      <c r="E6" s="10" t="n">
        <f aca="false">Parameters!B6</f>
        <v>0.15</v>
      </c>
      <c r="F6"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7" min="3" style="0" width="38"/>
  </cols>
  <sheetData>
    <row r="1" customFormat="false" ht="15" hidden="false" customHeight="false" outlineLevel="0" collapsed="false">
      <c r="A1" s="1" t="s">
        <v>37</v>
      </c>
      <c r="B1" s="1" t="s">
        <v>64</v>
      </c>
      <c r="C1" s="1" t="s">
        <v>65</v>
      </c>
      <c r="D1" s="1" t="s">
        <v>66</v>
      </c>
      <c r="E1" s="1" t="s">
        <v>67</v>
      </c>
      <c r="F1" s="1" t="s">
        <v>68</v>
      </c>
      <c r="G1" s="1" t="s">
        <v>69</v>
      </c>
    </row>
    <row r="2" customFormat="false" ht="35.05" hidden="false" customHeight="false" outlineLevel="0" collapsed="false">
      <c r="A2" s="3" t="s">
        <v>43</v>
      </c>
      <c r="B2" s="3" t="s">
        <v>44</v>
      </c>
      <c r="C2" s="3" t="s">
        <v>70</v>
      </c>
      <c r="D2" s="3" t="s">
        <v>71</v>
      </c>
      <c r="E2" s="3" t="s">
        <v>72</v>
      </c>
      <c r="F2" s="3" t="s">
        <v>73</v>
      </c>
      <c r="G2" s="3" t="s">
        <v>74</v>
      </c>
    </row>
    <row r="3" customFormat="false" ht="35.05" hidden="false" customHeight="false" outlineLevel="0" collapsed="false">
      <c r="A3" s="3" t="s">
        <v>48</v>
      </c>
      <c r="B3" s="3" t="s">
        <v>49</v>
      </c>
      <c r="C3" s="3" t="s">
        <v>75</v>
      </c>
      <c r="D3" s="3" t="s">
        <v>76</v>
      </c>
      <c r="E3" s="3" t="s">
        <v>77</v>
      </c>
      <c r="F3" s="3" t="s">
        <v>78</v>
      </c>
      <c r="G3" s="3" t="s">
        <v>79</v>
      </c>
    </row>
    <row r="4" customFormat="false" ht="23.85" hidden="false" customHeight="false" outlineLevel="0" collapsed="false">
      <c r="A4" s="3" t="s">
        <v>52</v>
      </c>
      <c r="B4" s="3" t="s">
        <v>53</v>
      </c>
      <c r="C4" s="3" t="s">
        <v>80</v>
      </c>
      <c r="D4" s="3" t="s">
        <v>81</v>
      </c>
      <c r="E4" s="3" t="s">
        <v>82</v>
      </c>
      <c r="F4" s="3" t="s">
        <v>83</v>
      </c>
      <c r="G4" s="3" t="s">
        <v>84</v>
      </c>
    </row>
    <row r="5" customFormat="false" ht="23.85" hidden="false" customHeight="false" outlineLevel="0" collapsed="false">
      <c r="A5" s="3" t="s">
        <v>56</v>
      </c>
      <c r="B5" s="3" t="s">
        <v>57</v>
      </c>
      <c r="C5" s="3" t="s">
        <v>85</v>
      </c>
      <c r="D5" s="3" t="s">
        <v>86</v>
      </c>
      <c r="E5" s="3" t="s">
        <v>87</v>
      </c>
      <c r="F5" s="3" t="s">
        <v>88</v>
      </c>
      <c r="G5" s="3" t="s">
        <v>89</v>
      </c>
    </row>
    <row r="6" customFormat="false" ht="35.05" hidden="false" customHeight="false" outlineLevel="0" collapsed="false">
      <c r="A6" s="3" t="s">
        <v>60</v>
      </c>
      <c r="B6" s="3" t="s">
        <v>61</v>
      </c>
      <c r="C6" s="3" t="s">
        <v>90</v>
      </c>
      <c r="D6" s="3" t="s">
        <v>91</v>
      </c>
      <c r="E6" s="3" t="s">
        <v>92</v>
      </c>
      <c r="F6" s="3" t="s">
        <v>93</v>
      </c>
      <c r="G6" s="3" t="s">
        <v>94</v>
      </c>
    </row>
    <row r="8" customFormat="false" ht="48" hidden="false" customHeight="true" outlineLevel="0" collapsed="false">
      <c r="A8" s="7" t="s">
        <v>95</v>
      </c>
      <c r="B8" s="11" t="s">
        <v>96</v>
      </c>
      <c r="C8" s="11"/>
      <c r="D8" s="11"/>
      <c r="E8" s="11"/>
      <c r="F8" s="11"/>
      <c r="G8" s="11"/>
    </row>
  </sheetData>
  <mergeCells count="1">
    <mergeCell ref="B8:G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60"/>
  </cols>
  <sheetData>
    <row r="1" customFormat="false" ht="15" hidden="false" customHeight="false" outlineLevel="0" collapsed="false">
      <c r="A1" s="12" t="s">
        <v>97</v>
      </c>
      <c r="B1" s="12" t="s">
        <v>98</v>
      </c>
      <c r="C1" s="12" t="s">
        <v>95</v>
      </c>
    </row>
    <row r="2" customFormat="false" ht="15" hidden="false" customHeight="false" outlineLevel="0" collapsed="false">
      <c r="A2" s="13" t="s">
        <v>99</v>
      </c>
      <c r="B2" s="14" t="n">
        <v>0.3</v>
      </c>
      <c r="C2" s="13" t="s">
        <v>100</v>
      </c>
    </row>
    <row r="3" customFormat="false" ht="15" hidden="false" customHeight="false" outlineLevel="0" collapsed="false">
      <c r="A3" s="13" t="s">
        <v>101</v>
      </c>
      <c r="B3" s="14" t="n">
        <v>0.25</v>
      </c>
      <c r="C3" s="13" t="s">
        <v>102</v>
      </c>
    </row>
    <row r="4" customFormat="false" ht="15" hidden="false" customHeight="false" outlineLevel="0" collapsed="false">
      <c r="A4" s="13" t="s">
        <v>103</v>
      </c>
      <c r="B4" s="14" t="n">
        <v>0.15</v>
      </c>
      <c r="C4" s="13" t="s">
        <v>102</v>
      </c>
    </row>
    <row r="5" customFormat="false" ht="15" hidden="false" customHeight="false" outlineLevel="0" collapsed="false">
      <c r="A5" s="13" t="s">
        <v>104</v>
      </c>
      <c r="B5" s="14" t="n">
        <v>0.15</v>
      </c>
      <c r="C5" s="13" t="s">
        <v>102</v>
      </c>
    </row>
    <row r="6" customFormat="false" ht="15" hidden="false" customHeight="false" outlineLevel="0" collapsed="false">
      <c r="A6" s="13" t="s">
        <v>105</v>
      </c>
      <c r="B6" s="14" t="n">
        <v>0.15</v>
      </c>
      <c r="C6" s="13" t="s">
        <v>102</v>
      </c>
    </row>
    <row r="7" customFormat="false" ht="15" hidden="false" customHeight="false" outlineLevel="0" collapsed="false">
      <c r="A7" s="13" t="s">
        <v>106</v>
      </c>
      <c r="B7" s="15" t="n">
        <f aca="false">SUM(B2:B6)</f>
        <v>1</v>
      </c>
      <c r="C7" s="13" t="s">
        <v>107</v>
      </c>
    </row>
    <row r="8" customFormat="false" ht="15" hidden="false" customHeight="false" outlineLevel="0" collapsed="false">
      <c r="A8" s="13" t="s">
        <v>36</v>
      </c>
      <c r="B8" s="13" t="str">
        <f aca="false">IF(ROUND(B7,4)=1,"OK","ERROR: weights must total 100%")</f>
        <v>OK</v>
      </c>
      <c r="C8" s="13"/>
    </row>
    <row r="9" customFormat="false" ht="15" hidden="false" customHeight="false" outlineLevel="0" collapsed="false">
      <c r="A9" s="13"/>
      <c r="B9" s="13"/>
      <c r="C9" s="13"/>
    </row>
    <row r="10" customFormat="false" ht="15" hidden="false" customHeight="false" outlineLevel="0" collapsed="false">
      <c r="A10" s="13" t="s">
        <v>108</v>
      </c>
      <c r="B10" s="16" t="n">
        <v>80</v>
      </c>
      <c r="C10" s="13" t="s">
        <v>109</v>
      </c>
    </row>
    <row r="11" customFormat="false" ht="15" hidden="false" customHeight="false" outlineLevel="0" collapsed="false">
      <c r="A11" s="13" t="s">
        <v>110</v>
      </c>
      <c r="B11" s="16" t="n">
        <v>60</v>
      </c>
      <c r="C11" s="13" t="s">
        <v>111</v>
      </c>
    </row>
    <row r="12" customFormat="false" ht="15" hidden="false" customHeight="false" outlineLevel="0" collapsed="false">
      <c r="A12" s="13" t="s">
        <v>112</v>
      </c>
      <c r="B12" s="16" t="n">
        <v>40</v>
      </c>
      <c r="C12" s="13" t="s">
        <v>113</v>
      </c>
    </row>
    <row r="13" customFormat="false" ht="15" hidden="false" customHeight="false" outlineLevel="0" collapsed="false">
      <c r="A13" s="13"/>
      <c r="B13" s="13"/>
      <c r="C13" s="13"/>
    </row>
    <row r="14" customFormat="false" ht="15" hidden="false" customHeight="false" outlineLevel="0" collapsed="false">
      <c r="A14" s="13" t="s">
        <v>114</v>
      </c>
      <c r="B14" s="16" t="n">
        <v>5</v>
      </c>
      <c r="C14" s="13" t="s">
        <v>102</v>
      </c>
    </row>
    <row r="15" customFormat="false" ht="15" hidden="false" customHeight="false" outlineLevel="0" collapsed="false">
      <c r="A15" s="13" t="s">
        <v>115</v>
      </c>
      <c r="B15" s="16" t="n">
        <v>5</v>
      </c>
      <c r="C15" s="13" t="s">
        <v>102</v>
      </c>
    </row>
    <row r="16" customFormat="false" ht="15" hidden="false" customHeight="false" outlineLevel="0" collapsed="false">
      <c r="A16" s="13" t="s">
        <v>116</v>
      </c>
      <c r="B16" s="16" t="n">
        <v>4</v>
      </c>
      <c r="C16" s="13" t="s">
        <v>102</v>
      </c>
    </row>
    <row r="17" customFormat="false" ht="15" hidden="false" customHeight="false" outlineLevel="0" collapsed="false">
      <c r="A17" s="13" t="s">
        <v>117</v>
      </c>
      <c r="B17" s="16" t="n">
        <v>4</v>
      </c>
      <c r="C17" s="13"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28"/>
    <col collapsed="false" customWidth="true" hidden="false" outlineLevel="0" max="5" min="4" style="0" width="60"/>
  </cols>
  <sheetData>
    <row r="1" customFormat="false" ht="64.9" hidden="false" customHeight="false" outlineLevel="0" collapsed="false">
      <c r="A1" s="17" t="s">
        <v>118</v>
      </c>
      <c r="B1" s="13"/>
      <c r="C1" s="13"/>
      <c r="D1" s="13"/>
      <c r="E1" s="13"/>
    </row>
    <row r="2" customFormat="false" ht="15" hidden="false" customHeight="false" outlineLevel="0" collapsed="false">
      <c r="A2" s="12" t="s">
        <v>119</v>
      </c>
      <c r="B2" s="12" t="s">
        <v>120</v>
      </c>
      <c r="C2" s="12" t="s">
        <v>121</v>
      </c>
      <c r="D2" s="12" t="s">
        <v>122</v>
      </c>
      <c r="E2" s="12" t="s">
        <v>123</v>
      </c>
    </row>
    <row r="3" customFormat="false" ht="23.85" hidden="false" customHeight="false" outlineLevel="0" collapsed="false">
      <c r="A3" s="13" t="s">
        <v>25</v>
      </c>
      <c r="B3" s="13" t="s">
        <v>124</v>
      </c>
      <c r="C3" s="13" t="s">
        <v>125</v>
      </c>
      <c r="D3" s="13" t="s">
        <v>126</v>
      </c>
      <c r="E3" s="13" t="s">
        <v>127</v>
      </c>
    </row>
    <row r="4" customFormat="false" ht="15" hidden="false" customHeight="false" outlineLevel="0" collapsed="false">
      <c r="A4" s="13" t="s">
        <v>26</v>
      </c>
      <c r="B4" s="13" t="s">
        <v>128</v>
      </c>
      <c r="C4" s="13" t="s">
        <v>129</v>
      </c>
      <c r="D4" s="13" t="s">
        <v>130</v>
      </c>
      <c r="E4" s="13" t="s">
        <v>131</v>
      </c>
    </row>
    <row r="5" customFormat="false" ht="15" hidden="false" customHeight="false" outlineLevel="0" collapsed="false">
      <c r="A5" s="13" t="s">
        <v>27</v>
      </c>
      <c r="B5" s="13" t="s">
        <v>132</v>
      </c>
      <c r="C5" s="13" t="s">
        <v>133</v>
      </c>
      <c r="D5" s="13" t="s">
        <v>134</v>
      </c>
      <c r="E5" s="13" t="s">
        <v>135</v>
      </c>
    </row>
    <row r="6" customFormat="false" ht="23.85" hidden="false" customHeight="false" outlineLevel="0" collapsed="false">
      <c r="A6" s="13" t="s">
        <v>28</v>
      </c>
      <c r="B6" s="13" t="s">
        <v>136</v>
      </c>
      <c r="C6" s="13" t="s">
        <v>137</v>
      </c>
      <c r="D6" s="13" t="s">
        <v>138</v>
      </c>
      <c r="E6" s="13" t="s">
        <v>139</v>
      </c>
    </row>
    <row r="7" customFormat="false" ht="15" hidden="false" customHeight="false" outlineLevel="0" collapsed="false">
      <c r="A7" s="13"/>
      <c r="B7" s="13"/>
      <c r="C7" s="13"/>
      <c r="D7" s="13"/>
      <c r="E7" s="13"/>
    </row>
    <row r="8" customFormat="false" ht="64.9" hidden="false" customHeight="false" outlineLevel="0" collapsed="false">
      <c r="A8" s="17" t="s">
        <v>140</v>
      </c>
      <c r="B8" s="13"/>
      <c r="C8" s="13"/>
      <c r="D8" s="13"/>
      <c r="E8" s="13"/>
    </row>
    <row r="9" customFormat="false" ht="15" hidden="false" customHeight="false" outlineLevel="0" collapsed="false">
      <c r="A9" s="12" t="s">
        <v>141</v>
      </c>
      <c r="B9" s="12" t="s">
        <v>142</v>
      </c>
      <c r="C9" s="12" t="s">
        <v>143</v>
      </c>
      <c r="D9" s="12" t="s">
        <v>144</v>
      </c>
      <c r="E9" s="13"/>
    </row>
    <row r="10" customFormat="false" ht="23.85" hidden="false" customHeight="false" outlineLevel="0" collapsed="false">
      <c r="A10" s="13" t="s">
        <v>145</v>
      </c>
      <c r="B10" s="13" t="s">
        <v>146</v>
      </c>
      <c r="C10" s="13" t="s">
        <v>147</v>
      </c>
      <c r="D10" s="13" t="s">
        <v>148</v>
      </c>
      <c r="E10" s="13"/>
    </row>
    <row r="11" customFormat="false" ht="15" hidden="false" customHeight="false" outlineLevel="0" collapsed="false">
      <c r="A11" s="13" t="s">
        <v>149</v>
      </c>
      <c r="B11" s="13" t="s">
        <v>150</v>
      </c>
      <c r="C11" s="13" t="s">
        <v>147</v>
      </c>
      <c r="D11" s="13" t="s">
        <v>151</v>
      </c>
      <c r="E11" s="13"/>
    </row>
    <row r="12" customFormat="false" ht="15" hidden="false" customHeight="false" outlineLevel="0" collapsed="false">
      <c r="A12" s="13" t="s">
        <v>152</v>
      </c>
      <c r="B12" s="13" t="s">
        <v>153</v>
      </c>
      <c r="C12" s="13" t="s">
        <v>154</v>
      </c>
      <c r="D12" s="13" t="s">
        <v>155</v>
      </c>
      <c r="E12" s="13"/>
    </row>
    <row r="13" customFormat="false" ht="15" hidden="false" customHeight="false" outlineLevel="0" collapsed="false">
      <c r="A13" s="13" t="s">
        <v>156</v>
      </c>
      <c r="B13" s="13" t="s">
        <v>157</v>
      </c>
      <c r="C13" s="13" t="s">
        <v>154</v>
      </c>
      <c r="D13" s="13" t="s">
        <v>158</v>
      </c>
      <c r="E13" s="13"/>
    </row>
    <row r="14" customFormat="false" ht="15" hidden="false" customHeight="false" outlineLevel="0" collapsed="false">
      <c r="A14" s="13"/>
      <c r="B14" s="13"/>
      <c r="C14" s="13"/>
      <c r="D14" s="13"/>
      <c r="E14" s="13"/>
    </row>
    <row r="15" customFormat="false" ht="26.85" hidden="false" customHeight="false" outlineLevel="0" collapsed="false">
      <c r="A15" s="17" t="s">
        <v>159</v>
      </c>
      <c r="B15" s="13"/>
      <c r="C15" s="13"/>
      <c r="D15" s="13"/>
      <c r="E15" s="13"/>
    </row>
    <row r="16" customFormat="false" ht="15" hidden="false" customHeight="false" outlineLevel="0" collapsed="false">
      <c r="A16" s="12" t="s">
        <v>160</v>
      </c>
      <c r="B16" s="12" t="s">
        <v>161</v>
      </c>
      <c r="C16" s="13"/>
      <c r="D16" s="13"/>
      <c r="E16" s="13"/>
    </row>
    <row r="17" customFormat="false" ht="23.85" hidden="false" customHeight="false" outlineLevel="0" collapsed="false">
      <c r="A17" s="13" t="n">
        <v>1</v>
      </c>
      <c r="B17" s="13" t="s">
        <v>162</v>
      </c>
      <c r="C17" s="13"/>
      <c r="D17" s="13"/>
      <c r="E17" s="13"/>
    </row>
    <row r="18" customFormat="false" ht="35.05" hidden="false" customHeight="false" outlineLevel="0" collapsed="false">
      <c r="A18" s="13" t="n">
        <v>2</v>
      </c>
      <c r="B18" s="13" t="s">
        <v>163</v>
      </c>
      <c r="C18" s="13"/>
      <c r="D18" s="13"/>
      <c r="E18" s="13"/>
    </row>
    <row r="19" customFormat="false" ht="15" hidden="false" customHeight="false" outlineLevel="0" collapsed="false">
      <c r="A19" s="13" t="n">
        <v>3</v>
      </c>
      <c r="B19" s="13" t="s">
        <v>164</v>
      </c>
      <c r="C19" s="13"/>
      <c r="D19" s="13"/>
      <c r="E19" s="13"/>
    </row>
    <row r="20" customFormat="false" ht="15" hidden="false" customHeight="false" outlineLevel="0" collapsed="false">
      <c r="A20" s="13" t="n">
        <v>4</v>
      </c>
      <c r="B20" s="13" t="s">
        <v>165</v>
      </c>
      <c r="C20" s="13"/>
      <c r="D20" s="13"/>
      <c r="E20" s="13"/>
    </row>
    <row r="21" customFormat="false" ht="15" hidden="false" customHeight="false" outlineLevel="0" collapsed="false">
      <c r="A21" s="13" t="n">
        <v>5</v>
      </c>
      <c r="B21" s="13" t="s">
        <v>166</v>
      </c>
      <c r="C21" s="13"/>
      <c r="D21" s="13"/>
      <c r="E21" s="13"/>
    </row>
    <row r="22" customFormat="false" ht="23.85" hidden="false" customHeight="false" outlineLevel="0" collapsed="false">
      <c r="A22" s="13" t="n">
        <v>6</v>
      </c>
      <c r="B22" s="13" t="s">
        <v>167</v>
      </c>
      <c r="C22" s="13"/>
      <c r="D22" s="13"/>
      <c r="E22" s="13"/>
    </row>
    <row r="23" customFormat="false" ht="35.05" hidden="false" customHeight="false" outlineLevel="0" collapsed="false">
      <c r="A23" s="13" t="n">
        <v>7</v>
      </c>
      <c r="B23" s="13" t="s">
        <v>168</v>
      </c>
      <c r="C23" s="13"/>
      <c r="D23" s="13"/>
      <c r="E23" s="13"/>
    </row>
    <row r="24" customFormat="false" ht="15" hidden="false" customHeight="false" outlineLevel="0" collapsed="false">
      <c r="A24" s="13"/>
      <c r="B24" s="13"/>
      <c r="C24" s="13"/>
      <c r="D24" s="13"/>
      <c r="E24" s="13"/>
    </row>
    <row r="25" customFormat="false" ht="26.85" hidden="false" customHeight="false" outlineLevel="0" collapsed="false">
      <c r="A25" s="17" t="s">
        <v>169</v>
      </c>
      <c r="B25" s="13"/>
      <c r="C25" s="13"/>
      <c r="D25" s="13"/>
      <c r="E25" s="13"/>
    </row>
    <row r="26" customFormat="false" ht="15" hidden="false" customHeight="false" outlineLevel="0" collapsed="false">
      <c r="A26" s="12" t="s">
        <v>170</v>
      </c>
      <c r="B26" s="12" t="s">
        <v>141</v>
      </c>
      <c r="C26" s="13"/>
      <c r="D26" s="13"/>
      <c r="E26" s="13"/>
    </row>
    <row r="27" customFormat="false" ht="35.05" hidden="false" customHeight="false" outlineLevel="0" collapsed="false">
      <c r="A27" s="13" t="s">
        <v>171</v>
      </c>
      <c r="B27" s="13" t="s">
        <v>172</v>
      </c>
      <c r="C27" s="13"/>
      <c r="D27" s="13"/>
      <c r="E27" s="13"/>
    </row>
    <row r="28" customFormat="false" ht="23.85" hidden="false" customHeight="false" outlineLevel="0" collapsed="false">
      <c r="A28" s="13" t="s">
        <v>173</v>
      </c>
      <c r="B28" s="13" t="s">
        <v>174</v>
      </c>
      <c r="C28" s="13"/>
      <c r="D28" s="13"/>
      <c r="E28" s="13"/>
    </row>
    <row r="29" customFormat="false" ht="35.05" hidden="false" customHeight="false" outlineLevel="0" collapsed="false">
      <c r="A29" s="13" t="s">
        <v>175</v>
      </c>
      <c r="B29" s="13" t="s">
        <v>176</v>
      </c>
      <c r="C29" s="13"/>
      <c r="D29" s="13"/>
      <c r="E29" s="13"/>
    </row>
    <row r="30" customFormat="false" ht="35.05" hidden="false" customHeight="false" outlineLevel="0" collapsed="false">
      <c r="A30" s="13" t="s">
        <v>177</v>
      </c>
      <c r="B30" s="13" t="s">
        <v>178</v>
      </c>
      <c r="C30" s="13"/>
      <c r="D30" s="13"/>
      <c r="E30" s="13"/>
    </row>
    <row r="31" customFormat="false" ht="23.85" hidden="false" customHeight="false" outlineLevel="0" collapsed="false">
      <c r="A31" s="13" t="s">
        <v>179</v>
      </c>
      <c r="B31" s="13" t="s">
        <v>180</v>
      </c>
      <c r="C31" s="13"/>
      <c r="D31" s="13"/>
      <c r="E31"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1"/>
    <col collapsed="false" customWidth="true" hidden="false" outlineLevel="0" max="4" min="4" style="0" width="10"/>
    <col collapsed="false" customWidth="true" hidden="false" outlineLevel="0" max="5" min="5" style="0" width="15"/>
    <col collapsed="false" customWidth="true" hidden="false" outlineLevel="0" max="6" min="6" style="0" width="52"/>
    <col collapsed="false" customWidth="true" hidden="false" outlineLevel="0" max="7" min="7" style="0" width="9"/>
    <col collapsed="false" customWidth="true" hidden="false" outlineLevel="0" max="8" min="8" style="0" width="10"/>
    <col collapsed="false" customWidth="true" hidden="false" outlineLevel="0" max="11" min="9" style="0" width="11"/>
    <col collapsed="false" customWidth="true" hidden="false" outlineLevel="0" max="12" min="12" style="0" width="10"/>
    <col collapsed="false" customWidth="true" hidden="false" outlineLevel="0" max="13" min="13" style="0" width="11"/>
    <col collapsed="false" customWidth="true" hidden="false" outlineLevel="0" max="14" min="14" style="0" width="8"/>
    <col collapsed="false" customWidth="true" hidden="false" outlineLevel="0" max="15" min="15" style="0" width="12"/>
    <col collapsed="false" customWidth="true" hidden="false" outlineLevel="0" max="16" min="16" style="0" width="9"/>
    <col collapsed="false" customWidth="true" hidden="false" outlineLevel="0" max="17" min="17" style="0" width="14"/>
    <col collapsed="false" customWidth="true" hidden="false" outlineLevel="0" max="18" min="18" style="0" width="8"/>
    <col collapsed="false" customWidth="true" hidden="false" outlineLevel="0" max="19" min="19" style="0" width="12"/>
    <col collapsed="false" customWidth="true" hidden="false" outlineLevel="0" max="20" min="20" style="0" width="11"/>
    <col collapsed="false" customWidth="true" hidden="false" outlineLevel="0" max="21" min="21" style="0" width="18"/>
  </cols>
  <sheetData>
    <row r="1" customFormat="false" ht="35.05" hidden="false" customHeight="false" outlineLevel="0" collapsed="false">
      <c r="A1" s="1" t="s">
        <v>181</v>
      </c>
      <c r="B1" s="1" t="s">
        <v>182</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197</v>
      </c>
      <c r="R1" s="1" t="s">
        <v>198</v>
      </c>
      <c r="S1" s="1" t="s">
        <v>199</v>
      </c>
      <c r="T1" s="1" t="s">
        <v>200</v>
      </c>
      <c r="U1" s="1" t="s">
        <v>201</v>
      </c>
    </row>
    <row r="2" customFormat="false" ht="23.85" hidden="false" customHeight="false" outlineLevel="0" collapsed="false">
      <c r="A2" s="3" t="s">
        <v>202</v>
      </c>
      <c r="B2" s="3" t="s">
        <v>203</v>
      </c>
      <c r="C2" s="3" t="s">
        <v>204</v>
      </c>
      <c r="D2" s="3" t="s">
        <v>32</v>
      </c>
      <c r="E2" s="3" t="s">
        <v>205</v>
      </c>
      <c r="F2" s="3" t="s">
        <v>206</v>
      </c>
      <c r="G2" s="18" t="n">
        <v>3</v>
      </c>
      <c r="H2" s="18" t="n">
        <v>4</v>
      </c>
      <c r="I2" s="18" t="n">
        <v>2</v>
      </c>
      <c r="J2" s="18" t="n">
        <v>4</v>
      </c>
      <c r="K2" s="18" t="n">
        <v>2</v>
      </c>
      <c r="L2" s="3" t="n">
        <f aca="false">ROUND(G2*Parameters!$B$2+H2*Parameters!$B$3+I2*Parameters!$B$4+J2*Parameters!$B$5+K2*Parameters!$B$6,2)</f>
        <v>3.1</v>
      </c>
      <c r="M2" s="3" t="n">
        <f aca="false">ROUND(L2/5*100,1)</f>
        <v>62</v>
      </c>
      <c r="N2" s="3" t="n">
        <f aca="false">IF(M2&gt;=Parameters!$B$10,4,IF(M2&gt;=Parameters!$B$11,3,IF(M2&gt;=Parameters!$B$12,2,1)))</f>
        <v>3</v>
      </c>
      <c r="O2" s="3" t="str">
        <f aca="false">CHOOSE(N2,"Low","Medium","High","Critical")</f>
        <v>High</v>
      </c>
      <c r="P2" s="3" t="n">
        <f aca="false">MAX(IF(G2&gt;=Parameters!$B$14,4,0),IF(I2&gt;=Parameters!$B$15,4,0),IF(G2&gt;=Parameters!$B$16,3,0),IF(I2&gt;=Parameters!$B$17,3,0))</f>
        <v>0</v>
      </c>
      <c r="Q2" s="3" t="str">
        <f aca="false">IF(TRIM(IF(G2&gt;=Parameters!$B$14,"R1 ","")&amp;IF(I2&gt;=Parameters!$B$15,"R2 ","")&amp;IF(G2&gt;=Parameters!$B$16,"R3 ","")&amp;IF(I2&gt;=Parameters!$B$17,"R4",""))="","None",TRIM(IF(G2&gt;=Parameters!$B$14,"R1 ","")&amp;IF(I2&gt;=Parameters!$B$15,"R2 ","")&amp;IF(G2&gt;=Parameters!$B$16,"R3 ","")&amp;IF(I2&gt;=Parameters!$B$17,"R4","")))</f>
        <v>None</v>
      </c>
      <c r="R2" s="3" t="n">
        <f aca="false">MAX(N2,P2)</f>
        <v>3</v>
      </c>
      <c r="S2" s="3" t="str">
        <f aca="false">CHOOSE(R2,"Low","Medium","High","Critical")</f>
        <v>High</v>
      </c>
      <c r="T2" s="3" t="str">
        <f aca="false">IF(R2&gt;N2,"Yes","No")</f>
        <v>No</v>
      </c>
      <c r="U2" s="3" t="s">
        <v>207</v>
      </c>
    </row>
    <row r="3" customFormat="false" ht="15" hidden="false" customHeight="false" outlineLevel="0" collapsed="false">
      <c r="A3" s="3" t="s">
        <v>208</v>
      </c>
      <c r="B3" s="3" t="s">
        <v>209</v>
      </c>
      <c r="C3" s="3" t="s">
        <v>210</v>
      </c>
      <c r="D3" s="3" t="s">
        <v>32</v>
      </c>
      <c r="E3" s="3" t="s">
        <v>205</v>
      </c>
      <c r="F3" s="3" t="s">
        <v>211</v>
      </c>
      <c r="G3" s="18" t="n">
        <v>5</v>
      </c>
      <c r="H3" s="18" t="n">
        <v>5</v>
      </c>
      <c r="I3" s="18" t="n">
        <v>2</v>
      </c>
      <c r="J3" s="18" t="n">
        <v>5</v>
      </c>
      <c r="K3" s="18" t="n">
        <v>4</v>
      </c>
      <c r="L3" s="3" t="n">
        <f aca="false">ROUND(G3*Parameters!$B$2+H3*Parameters!$B$3+I3*Parameters!$B$4+J3*Parameters!$B$5+K3*Parameters!$B$6,2)</f>
        <v>4.4</v>
      </c>
      <c r="M3" s="3" t="n">
        <f aca="false">ROUND(L3/5*100,1)</f>
        <v>88</v>
      </c>
      <c r="N3" s="3" t="n">
        <f aca="false">IF(M3&gt;=Parameters!$B$10,4,IF(M3&gt;=Parameters!$B$11,3,IF(M3&gt;=Parameters!$B$12,2,1)))</f>
        <v>4</v>
      </c>
      <c r="O3" s="3" t="str">
        <f aca="false">CHOOSE(N3,"Low","Medium","High","Critical")</f>
        <v>Critical</v>
      </c>
      <c r="P3" s="3" t="n">
        <f aca="false">MAX(IF(G3&gt;=Parameters!$B$14,4,0),IF(I3&gt;=Parameters!$B$15,4,0),IF(G3&gt;=Parameters!$B$16,3,0),IF(I3&gt;=Parameters!$B$17,3,0))</f>
        <v>4</v>
      </c>
      <c r="Q3" s="3" t="str">
        <f aca="false">IF(TRIM(IF(G3&gt;=Parameters!$B$14,"R1 ","")&amp;IF(I3&gt;=Parameters!$B$15,"R2 ","")&amp;IF(G3&gt;=Parameters!$B$16,"R3 ","")&amp;IF(I3&gt;=Parameters!$B$17,"R4",""))="","None",TRIM(IF(G3&gt;=Parameters!$B$14,"R1 ","")&amp;IF(I3&gt;=Parameters!$B$15,"R2 ","")&amp;IF(G3&gt;=Parameters!$B$16,"R3 ","")&amp;IF(I3&gt;=Parameters!$B$17,"R4","")))</f>
        <v>R1 R3</v>
      </c>
      <c r="R3" s="3" t="n">
        <f aca="false">MAX(N3,P3)</f>
        <v>4</v>
      </c>
      <c r="S3" s="3" t="str">
        <f aca="false">CHOOSE(R3,"Low","Medium","High","Critical")</f>
        <v>Critical</v>
      </c>
      <c r="T3" s="3" t="str">
        <f aca="false">IF(R3&gt;N3,"Yes","No")</f>
        <v>No</v>
      </c>
      <c r="U3" s="3" t="s">
        <v>207</v>
      </c>
    </row>
    <row r="4" customFormat="false" ht="23.85" hidden="false" customHeight="false" outlineLevel="0" collapsed="false">
      <c r="A4" s="3" t="s">
        <v>212</v>
      </c>
      <c r="B4" s="3" t="s">
        <v>213</v>
      </c>
      <c r="C4" s="3" t="s">
        <v>214</v>
      </c>
      <c r="D4" s="3" t="s">
        <v>32</v>
      </c>
      <c r="E4" s="3" t="s">
        <v>205</v>
      </c>
      <c r="F4" s="3" t="s">
        <v>215</v>
      </c>
      <c r="G4" s="18" t="n">
        <v>1</v>
      </c>
      <c r="H4" s="18" t="n">
        <v>1</v>
      </c>
      <c r="I4" s="18" t="n">
        <v>2</v>
      </c>
      <c r="J4" s="18" t="n">
        <v>1</v>
      </c>
      <c r="K4" s="18" t="n">
        <v>1</v>
      </c>
      <c r="L4" s="3" t="n">
        <f aca="false">ROUND(G4*Parameters!$B$2+H4*Parameters!$B$3+I4*Parameters!$B$4+J4*Parameters!$B$5+K4*Parameters!$B$6,2)</f>
        <v>1.15</v>
      </c>
      <c r="M4" s="3" t="n">
        <f aca="false">ROUND(L4/5*100,1)</f>
        <v>23</v>
      </c>
      <c r="N4" s="3" t="n">
        <f aca="false">IF(M4&gt;=Parameters!$B$10,4,IF(M4&gt;=Parameters!$B$11,3,IF(M4&gt;=Parameters!$B$12,2,1)))</f>
        <v>1</v>
      </c>
      <c r="O4" s="3" t="str">
        <f aca="false">CHOOSE(N4,"Low","Medium","High","Critical")</f>
        <v>Low</v>
      </c>
      <c r="P4" s="3" t="n">
        <f aca="false">MAX(IF(G4&gt;=Parameters!$B$14,4,0),IF(I4&gt;=Parameters!$B$15,4,0),IF(G4&gt;=Parameters!$B$16,3,0),IF(I4&gt;=Parameters!$B$17,3,0))</f>
        <v>0</v>
      </c>
      <c r="Q4" s="3" t="str">
        <f aca="false">IF(TRIM(IF(G4&gt;=Parameters!$B$14,"R1 ","")&amp;IF(I4&gt;=Parameters!$B$15,"R2 ","")&amp;IF(G4&gt;=Parameters!$B$16,"R3 ","")&amp;IF(I4&gt;=Parameters!$B$17,"R4",""))="","None",TRIM(IF(G4&gt;=Parameters!$B$14,"R1 ","")&amp;IF(I4&gt;=Parameters!$B$15,"R2 ","")&amp;IF(G4&gt;=Parameters!$B$16,"R3 ","")&amp;IF(I4&gt;=Parameters!$B$17,"R4","")))</f>
        <v>None</v>
      </c>
      <c r="R4" s="3" t="n">
        <f aca="false">MAX(N4,P4)</f>
        <v>1</v>
      </c>
      <c r="S4" s="3" t="str">
        <f aca="false">CHOOSE(R4,"Low","Medium","High","Critical")</f>
        <v>Low</v>
      </c>
      <c r="T4" s="3" t="str">
        <f aca="false">IF(R4&gt;N4,"Yes","No")</f>
        <v>No</v>
      </c>
      <c r="U4" s="3" t="s">
        <v>207</v>
      </c>
    </row>
    <row r="5" customFormat="false" ht="23.85" hidden="false" customHeight="false" outlineLevel="0" collapsed="false">
      <c r="A5" s="3" t="s">
        <v>216</v>
      </c>
      <c r="B5" s="3" t="s">
        <v>217</v>
      </c>
      <c r="C5" s="3" t="s">
        <v>218</v>
      </c>
      <c r="D5" s="3" t="s">
        <v>32</v>
      </c>
      <c r="E5" s="3" t="s">
        <v>205</v>
      </c>
      <c r="F5" s="3" t="s">
        <v>219</v>
      </c>
      <c r="G5" s="18" t="n">
        <v>5</v>
      </c>
      <c r="H5" s="18" t="n">
        <v>2</v>
      </c>
      <c r="I5" s="18" t="n">
        <v>4</v>
      </c>
      <c r="J5" s="18" t="n">
        <v>2</v>
      </c>
      <c r="K5" s="18" t="n">
        <v>2</v>
      </c>
      <c r="L5" s="3" t="n">
        <f aca="false">ROUND(G5*Parameters!$B$2+H5*Parameters!$B$3+I5*Parameters!$B$4+J5*Parameters!$B$5+K5*Parameters!$B$6,2)</f>
        <v>3.2</v>
      </c>
      <c r="M5" s="3" t="n">
        <f aca="false">ROUND(L5/5*100,1)</f>
        <v>64</v>
      </c>
      <c r="N5" s="3" t="n">
        <f aca="false">IF(M5&gt;=Parameters!$B$10,4,IF(M5&gt;=Parameters!$B$11,3,IF(M5&gt;=Parameters!$B$12,2,1)))</f>
        <v>3</v>
      </c>
      <c r="O5" s="3" t="str">
        <f aca="false">CHOOSE(N5,"Low","Medium","High","Critical")</f>
        <v>High</v>
      </c>
      <c r="P5" s="3" t="n">
        <f aca="false">MAX(IF(G5&gt;=Parameters!$B$14,4,0),IF(I5&gt;=Parameters!$B$15,4,0),IF(G5&gt;=Parameters!$B$16,3,0),IF(I5&gt;=Parameters!$B$17,3,0))</f>
        <v>4</v>
      </c>
      <c r="Q5" s="3" t="str">
        <f aca="false">IF(TRIM(IF(G5&gt;=Parameters!$B$14,"R1 ","")&amp;IF(I5&gt;=Parameters!$B$15,"R2 ","")&amp;IF(G5&gt;=Parameters!$B$16,"R3 ","")&amp;IF(I5&gt;=Parameters!$B$17,"R4",""))="","None",TRIM(IF(G5&gt;=Parameters!$B$14,"R1 ","")&amp;IF(I5&gt;=Parameters!$B$15,"R2 ","")&amp;IF(G5&gt;=Parameters!$B$16,"R3 ","")&amp;IF(I5&gt;=Parameters!$B$17,"R4","")))</f>
        <v>R1 R3 R4</v>
      </c>
      <c r="R5" s="3" t="n">
        <f aca="false">MAX(N5,P5)</f>
        <v>4</v>
      </c>
      <c r="S5" s="3" t="str">
        <f aca="false">CHOOSE(R5,"Low","Medium","High","Critical")</f>
        <v>Critical</v>
      </c>
      <c r="T5" s="3" t="str">
        <f aca="false">IF(R5&gt;N5,"Yes","No")</f>
        <v>Yes</v>
      </c>
      <c r="U5" s="3" t="s">
        <v>207</v>
      </c>
    </row>
    <row r="6" customFormat="false" ht="23.85" hidden="false" customHeight="false" outlineLevel="0" collapsed="false">
      <c r="A6" s="3" t="s">
        <v>220</v>
      </c>
      <c r="B6" s="3" t="s">
        <v>221</v>
      </c>
      <c r="C6" s="3" t="s">
        <v>222</v>
      </c>
      <c r="D6" s="3" t="s">
        <v>33</v>
      </c>
      <c r="E6" s="3" t="s">
        <v>223</v>
      </c>
      <c r="F6" s="3" t="s">
        <v>224</v>
      </c>
      <c r="G6" s="18" t="n">
        <v>3</v>
      </c>
      <c r="H6" s="18" t="n">
        <v>4</v>
      </c>
      <c r="I6" s="18" t="n">
        <v>1</v>
      </c>
      <c r="J6" s="18" t="n">
        <v>4</v>
      </c>
      <c r="K6" s="18" t="n">
        <v>3</v>
      </c>
      <c r="L6" s="3" t="n">
        <f aca="false">ROUND(G6*Parameters!$B$2+H6*Parameters!$B$3+I6*Parameters!$B$4+J6*Parameters!$B$5+K6*Parameters!$B$6,2)</f>
        <v>3.1</v>
      </c>
      <c r="M6" s="3" t="n">
        <f aca="false">ROUND(L6/5*100,1)</f>
        <v>62</v>
      </c>
      <c r="N6" s="3" t="n">
        <f aca="false">IF(M6&gt;=Parameters!$B$10,4,IF(M6&gt;=Parameters!$B$11,3,IF(M6&gt;=Parameters!$B$12,2,1)))</f>
        <v>3</v>
      </c>
      <c r="O6" s="3" t="str">
        <f aca="false">CHOOSE(N6,"Low","Medium","High","Critical")</f>
        <v>High</v>
      </c>
      <c r="P6" s="3" t="n">
        <f aca="false">MAX(IF(G6&gt;=Parameters!$B$14,4,0),IF(I6&gt;=Parameters!$B$15,4,0),IF(G6&gt;=Parameters!$B$16,3,0),IF(I6&gt;=Parameters!$B$17,3,0))</f>
        <v>0</v>
      </c>
      <c r="Q6" s="3" t="str">
        <f aca="false">IF(TRIM(IF(G6&gt;=Parameters!$B$14,"R1 ","")&amp;IF(I6&gt;=Parameters!$B$15,"R2 ","")&amp;IF(G6&gt;=Parameters!$B$16,"R3 ","")&amp;IF(I6&gt;=Parameters!$B$17,"R4",""))="","None",TRIM(IF(G6&gt;=Parameters!$B$14,"R1 ","")&amp;IF(I6&gt;=Parameters!$B$15,"R2 ","")&amp;IF(G6&gt;=Parameters!$B$16,"R3 ","")&amp;IF(I6&gt;=Parameters!$B$17,"R4","")))</f>
        <v>None</v>
      </c>
      <c r="R6" s="3" t="n">
        <f aca="false">MAX(N6,P6)</f>
        <v>3</v>
      </c>
      <c r="S6" s="3" t="str">
        <f aca="false">CHOOSE(R6,"Low","Medium","High","Critical")</f>
        <v>High</v>
      </c>
      <c r="T6" s="3" t="str">
        <f aca="false">IF(R6&gt;N6,"Yes","No")</f>
        <v>No</v>
      </c>
      <c r="U6" s="3" t="s">
        <v>207</v>
      </c>
    </row>
    <row r="7" customFormat="false" ht="23.85" hidden="false" customHeight="false" outlineLevel="0" collapsed="false">
      <c r="A7" s="3" t="s">
        <v>225</v>
      </c>
      <c r="B7" s="3" t="s">
        <v>226</v>
      </c>
      <c r="C7" s="3" t="s">
        <v>227</v>
      </c>
      <c r="D7" s="3" t="s">
        <v>33</v>
      </c>
      <c r="E7" s="3" t="s">
        <v>223</v>
      </c>
      <c r="F7" s="3" t="s">
        <v>228</v>
      </c>
      <c r="G7" s="18" t="n">
        <v>3</v>
      </c>
      <c r="H7" s="18" t="n">
        <v>3</v>
      </c>
      <c r="I7" s="18" t="n">
        <v>1</v>
      </c>
      <c r="J7" s="18" t="n">
        <v>3</v>
      </c>
      <c r="K7" s="18" t="n">
        <v>2</v>
      </c>
      <c r="L7" s="3" t="n">
        <f aca="false">ROUND(G7*Parameters!$B$2+H7*Parameters!$B$3+I7*Parameters!$B$4+J7*Parameters!$B$5+K7*Parameters!$B$6,2)</f>
        <v>2.55</v>
      </c>
      <c r="M7" s="3" t="n">
        <f aca="false">ROUND(L7/5*100,1)</f>
        <v>51</v>
      </c>
      <c r="N7" s="3" t="n">
        <f aca="false">IF(M7&gt;=Parameters!$B$10,4,IF(M7&gt;=Parameters!$B$11,3,IF(M7&gt;=Parameters!$B$12,2,1)))</f>
        <v>2</v>
      </c>
      <c r="O7" s="3" t="str">
        <f aca="false">CHOOSE(N7,"Low","Medium","High","Critical")</f>
        <v>Medium</v>
      </c>
      <c r="P7" s="3" t="n">
        <f aca="false">MAX(IF(G7&gt;=Parameters!$B$14,4,0),IF(I7&gt;=Parameters!$B$15,4,0),IF(G7&gt;=Parameters!$B$16,3,0),IF(I7&gt;=Parameters!$B$17,3,0))</f>
        <v>0</v>
      </c>
      <c r="Q7" s="3" t="str">
        <f aca="false">IF(TRIM(IF(G7&gt;=Parameters!$B$14,"R1 ","")&amp;IF(I7&gt;=Parameters!$B$15,"R2 ","")&amp;IF(G7&gt;=Parameters!$B$16,"R3 ","")&amp;IF(I7&gt;=Parameters!$B$17,"R4",""))="","None",TRIM(IF(G7&gt;=Parameters!$B$14,"R1 ","")&amp;IF(I7&gt;=Parameters!$B$15,"R2 ","")&amp;IF(G7&gt;=Parameters!$B$16,"R3 ","")&amp;IF(I7&gt;=Parameters!$B$17,"R4","")))</f>
        <v>None</v>
      </c>
      <c r="R7" s="3" t="n">
        <f aca="false">MAX(N7,P7)</f>
        <v>2</v>
      </c>
      <c r="S7" s="3" t="str">
        <f aca="false">CHOOSE(R7,"Low","Medium","High","Critical")</f>
        <v>Medium</v>
      </c>
      <c r="T7" s="3" t="str">
        <f aca="false">IF(R7&gt;N7,"Yes","No")</f>
        <v>No</v>
      </c>
      <c r="U7" s="3" t="s">
        <v>207</v>
      </c>
    </row>
    <row r="8" customFormat="false" ht="23.85" hidden="false" customHeight="false" outlineLevel="0" collapsed="false">
      <c r="A8" s="3" t="s">
        <v>229</v>
      </c>
      <c r="B8" s="3" t="s">
        <v>230</v>
      </c>
      <c r="C8" s="3" t="s">
        <v>231</v>
      </c>
      <c r="D8" s="3" t="s">
        <v>33</v>
      </c>
      <c r="E8" s="3" t="s">
        <v>223</v>
      </c>
      <c r="F8" s="3" t="s">
        <v>232</v>
      </c>
      <c r="G8" s="18" t="n">
        <v>1</v>
      </c>
      <c r="H8" s="18" t="n">
        <v>1</v>
      </c>
      <c r="I8" s="18" t="n">
        <v>1</v>
      </c>
      <c r="J8" s="18" t="n">
        <v>1</v>
      </c>
      <c r="K8" s="18" t="n">
        <v>1</v>
      </c>
      <c r="L8" s="3" t="n">
        <f aca="false">ROUND(G8*Parameters!$B$2+H8*Parameters!$B$3+I8*Parameters!$B$4+J8*Parameters!$B$5+K8*Parameters!$B$6,2)</f>
        <v>1</v>
      </c>
      <c r="M8" s="3" t="n">
        <f aca="false">ROUND(L8/5*100,1)</f>
        <v>20</v>
      </c>
      <c r="N8" s="3" t="n">
        <f aca="false">IF(M8&gt;=Parameters!$B$10,4,IF(M8&gt;=Parameters!$B$11,3,IF(M8&gt;=Parameters!$B$12,2,1)))</f>
        <v>1</v>
      </c>
      <c r="O8" s="3" t="str">
        <f aca="false">CHOOSE(N8,"Low","Medium","High","Critical")</f>
        <v>Low</v>
      </c>
      <c r="P8" s="3" t="n">
        <f aca="false">MAX(IF(G8&gt;=Parameters!$B$14,4,0),IF(I8&gt;=Parameters!$B$15,4,0),IF(G8&gt;=Parameters!$B$16,3,0),IF(I8&gt;=Parameters!$B$17,3,0))</f>
        <v>0</v>
      </c>
      <c r="Q8" s="3" t="str">
        <f aca="false">IF(TRIM(IF(G8&gt;=Parameters!$B$14,"R1 ","")&amp;IF(I8&gt;=Parameters!$B$15,"R2 ","")&amp;IF(G8&gt;=Parameters!$B$16,"R3 ","")&amp;IF(I8&gt;=Parameters!$B$17,"R4",""))="","None",TRIM(IF(G8&gt;=Parameters!$B$14,"R1 ","")&amp;IF(I8&gt;=Parameters!$B$15,"R2 ","")&amp;IF(G8&gt;=Parameters!$B$16,"R3 ","")&amp;IF(I8&gt;=Parameters!$B$17,"R4","")))</f>
        <v>None</v>
      </c>
      <c r="R8" s="3" t="n">
        <f aca="false">MAX(N8,P8)</f>
        <v>1</v>
      </c>
      <c r="S8" s="3" t="str">
        <f aca="false">CHOOSE(R8,"Low","Medium","High","Critical")</f>
        <v>Low</v>
      </c>
      <c r="T8" s="3" t="str">
        <f aca="false">IF(R8&gt;N8,"Yes","No")</f>
        <v>No</v>
      </c>
      <c r="U8" s="3" t="s">
        <v>207</v>
      </c>
    </row>
    <row r="9" customFormat="false" ht="23.85" hidden="false" customHeight="false" outlineLevel="0" collapsed="false">
      <c r="A9" s="3" t="s">
        <v>233</v>
      </c>
      <c r="B9" s="3" t="s">
        <v>234</v>
      </c>
      <c r="C9" s="3" t="s">
        <v>235</v>
      </c>
      <c r="D9" s="3" t="s">
        <v>34</v>
      </c>
      <c r="E9" s="3" t="s">
        <v>236</v>
      </c>
      <c r="F9" s="3" t="s">
        <v>237</v>
      </c>
      <c r="G9" s="18" t="n">
        <v>4</v>
      </c>
      <c r="H9" s="18" t="n">
        <v>5</v>
      </c>
      <c r="I9" s="18" t="n">
        <v>2</v>
      </c>
      <c r="J9" s="18" t="n">
        <v>5</v>
      </c>
      <c r="K9" s="18" t="n">
        <v>4</v>
      </c>
      <c r="L9" s="3" t="n">
        <f aca="false">ROUND(G9*Parameters!$B$2+H9*Parameters!$B$3+I9*Parameters!$B$4+J9*Parameters!$B$5+K9*Parameters!$B$6,2)</f>
        <v>4.1</v>
      </c>
      <c r="M9" s="3" t="n">
        <f aca="false">ROUND(L9/5*100,1)</f>
        <v>82</v>
      </c>
      <c r="N9" s="3" t="n">
        <f aca="false">IF(M9&gt;=Parameters!$B$10,4,IF(M9&gt;=Parameters!$B$11,3,IF(M9&gt;=Parameters!$B$12,2,1)))</f>
        <v>4</v>
      </c>
      <c r="O9" s="3" t="str">
        <f aca="false">CHOOSE(N9,"Low","Medium","High","Critical")</f>
        <v>Critical</v>
      </c>
      <c r="P9" s="3" t="n">
        <f aca="false">MAX(IF(G9&gt;=Parameters!$B$14,4,0),IF(I9&gt;=Parameters!$B$15,4,0),IF(G9&gt;=Parameters!$B$16,3,0),IF(I9&gt;=Parameters!$B$17,3,0))</f>
        <v>3</v>
      </c>
      <c r="Q9" s="3" t="str">
        <f aca="false">IF(TRIM(IF(G9&gt;=Parameters!$B$14,"R1 ","")&amp;IF(I9&gt;=Parameters!$B$15,"R2 ","")&amp;IF(G9&gt;=Parameters!$B$16,"R3 ","")&amp;IF(I9&gt;=Parameters!$B$17,"R4",""))="","None",TRIM(IF(G9&gt;=Parameters!$B$14,"R1 ","")&amp;IF(I9&gt;=Parameters!$B$15,"R2 ","")&amp;IF(G9&gt;=Parameters!$B$16,"R3 ","")&amp;IF(I9&gt;=Parameters!$B$17,"R4","")))</f>
        <v>R3</v>
      </c>
      <c r="R9" s="3" t="n">
        <f aca="false">MAX(N9,P9)</f>
        <v>4</v>
      </c>
      <c r="S9" s="3" t="str">
        <f aca="false">CHOOSE(R9,"Low","Medium","High","Critical")</f>
        <v>Critical</v>
      </c>
      <c r="T9" s="3" t="str">
        <f aca="false">IF(R9&gt;N9,"Yes","No")</f>
        <v>No</v>
      </c>
      <c r="U9" s="3" t="s">
        <v>207</v>
      </c>
    </row>
    <row r="10" customFormat="false" ht="23.85" hidden="false" customHeight="false" outlineLevel="0" collapsed="false">
      <c r="A10" s="3" t="s">
        <v>238</v>
      </c>
      <c r="B10" s="3" t="s">
        <v>239</v>
      </c>
      <c r="C10" s="3" t="s">
        <v>240</v>
      </c>
      <c r="D10" s="3" t="s">
        <v>34</v>
      </c>
      <c r="E10" s="3" t="s">
        <v>236</v>
      </c>
      <c r="F10" s="3" t="s">
        <v>241</v>
      </c>
      <c r="G10" s="18" t="n">
        <v>2</v>
      </c>
      <c r="H10" s="18" t="n">
        <v>2</v>
      </c>
      <c r="I10" s="18" t="n">
        <v>2</v>
      </c>
      <c r="J10" s="18" t="n">
        <v>2</v>
      </c>
      <c r="K10" s="18" t="n">
        <v>3</v>
      </c>
      <c r="L10" s="3" t="n">
        <f aca="false">ROUND(G10*Parameters!$B$2+H10*Parameters!$B$3+I10*Parameters!$B$4+J10*Parameters!$B$5+K10*Parameters!$B$6,2)</f>
        <v>2.15</v>
      </c>
      <c r="M10" s="3" t="n">
        <f aca="false">ROUND(L10/5*100,1)</f>
        <v>43</v>
      </c>
      <c r="N10" s="3" t="n">
        <f aca="false">IF(M10&gt;=Parameters!$B$10,4,IF(M10&gt;=Parameters!$B$11,3,IF(M10&gt;=Parameters!$B$12,2,1)))</f>
        <v>2</v>
      </c>
      <c r="O10" s="3" t="str">
        <f aca="false">CHOOSE(N10,"Low","Medium","High","Critical")</f>
        <v>Medium</v>
      </c>
      <c r="P10" s="3" t="n">
        <f aca="false">MAX(IF(G10&gt;=Parameters!$B$14,4,0),IF(I10&gt;=Parameters!$B$15,4,0),IF(G10&gt;=Parameters!$B$16,3,0),IF(I10&gt;=Parameters!$B$17,3,0))</f>
        <v>0</v>
      </c>
      <c r="Q10" s="3" t="str">
        <f aca="false">IF(TRIM(IF(G10&gt;=Parameters!$B$14,"R1 ","")&amp;IF(I10&gt;=Parameters!$B$15,"R2 ","")&amp;IF(G10&gt;=Parameters!$B$16,"R3 ","")&amp;IF(I10&gt;=Parameters!$B$17,"R4",""))="","None",TRIM(IF(G10&gt;=Parameters!$B$14,"R1 ","")&amp;IF(I10&gt;=Parameters!$B$15,"R2 ","")&amp;IF(G10&gt;=Parameters!$B$16,"R3 ","")&amp;IF(I10&gt;=Parameters!$B$17,"R4","")))</f>
        <v>None</v>
      </c>
      <c r="R10" s="3" t="n">
        <f aca="false">MAX(N10,P10)</f>
        <v>2</v>
      </c>
      <c r="S10" s="3" t="str">
        <f aca="false">CHOOSE(R10,"Low","Medium","High","Critical")</f>
        <v>Medium</v>
      </c>
      <c r="T10" s="3" t="str">
        <f aca="false">IF(R10&gt;N10,"Yes","No")</f>
        <v>No</v>
      </c>
      <c r="U10" s="3" t="s">
        <v>207</v>
      </c>
    </row>
    <row r="11" customFormat="false" ht="23.85" hidden="false" customHeight="false" outlineLevel="0" collapsed="false">
      <c r="A11" s="3" t="s">
        <v>242</v>
      </c>
      <c r="B11" s="3" t="s">
        <v>243</v>
      </c>
      <c r="C11" s="3" t="s">
        <v>244</v>
      </c>
      <c r="D11" s="3" t="s">
        <v>34</v>
      </c>
      <c r="E11" s="3" t="s">
        <v>236</v>
      </c>
      <c r="F11" s="3" t="s">
        <v>245</v>
      </c>
      <c r="G11" s="18" t="n">
        <v>2</v>
      </c>
      <c r="H11" s="18" t="n">
        <v>1</v>
      </c>
      <c r="I11" s="18" t="n">
        <v>2</v>
      </c>
      <c r="J11" s="18" t="n">
        <v>1</v>
      </c>
      <c r="K11" s="18" t="n">
        <v>2</v>
      </c>
      <c r="L11" s="3" t="n">
        <f aca="false">ROUND(G11*Parameters!$B$2+H11*Parameters!$B$3+I11*Parameters!$B$4+J11*Parameters!$B$5+K11*Parameters!$B$6,2)</f>
        <v>1.6</v>
      </c>
      <c r="M11" s="3" t="n">
        <f aca="false">ROUND(L11/5*100,1)</f>
        <v>32</v>
      </c>
      <c r="N11" s="3" t="n">
        <f aca="false">IF(M11&gt;=Parameters!$B$10,4,IF(M11&gt;=Parameters!$B$11,3,IF(M11&gt;=Parameters!$B$12,2,1)))</f>
        <v>1</v>
      </c>
      <c r="O11" s="3" t="str">
        <f aca="false">CHOOSE(N11,"Low","Medium","High","Critical")</f>
        <v>Low</v>
      </c>
      <c r="P11" s="3" t="n">
        <f aca="false">MAX(IF(G11&gt;=Parameters!$B$14,4,0),IF(I11&gt;=Parameters!$B$15,4,0),IF(G11&gt;=Parameters!$B$16,3,0),IF(I11&gt;=Parameters!$B$17,3,0))</f>
        <v>0</v>
      </c>
      <c r="Q11" s="3" t="str">
        <f aca="false">IF(TRIM(IF(G11&gt;=Parameters!$B$14,"R1 ","")&amp;IF(I11&gt;=Parameters!$B$15,"R2 ","")&amp;IF(G11&gt;=Parameters!$B$16,"R3 ","")&amp;IF(I11&gt;=Parameters!$B$17,"R4",""))="","None",TRIM(IF(G11&gt;=Parameters!$B$14,"R1 ","")&amp;IF(I11&gt;=Parameters!$B$15,"R2 ","")&amp;IF(G11&gt;=Parameters!$B$16,"R3 ","")&amp;IF(I11&gt;=Parameters!$B$17,"R4","")))</f>
        <v>None</v>
      </c>
      <c r="R11" s="3" t="n">
        <f aca="false">MAX(N11,P11)</f>
        <v>1</v>
      </c>
      <c r="S11" s="3" t="str">
        <f aca="false">CHOOSE(R11,"Low","Medium","High","Critical")</f>
        <v>Low</v>
      </c>
      <c r="T11" s="3" t="str">
        <f aca="false">IF(R11&gt;N11,"Yes","No")</f>
        <v>No</v>
      </c>
      <c r="U11" s="3" t="s">
        <v>207</v>
      </c>
    </row>
  </sheetData>
  <conditionalFormatting sqref="O2:O11">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conditionalFormatting sqref="S2:S11">
    <cfRule type="cellIs" priority="6" operator="equal" aboveAverage="0" equalAverage="0" bottom="0" percent="0" rank="0" text="" dxfId="0">
      <formula>"Critical"</formula>
    </cfRule>
    <cfRule type="cellIs" priority="7" operator="equal" aboveAverage="0" equalAverage="0" bottom="0" percent="0" rank="0" text="" dxfId="1">
      <formula>"High"</formula>
    </cfRule>
    <cfRule type="cellIs" priority="8" operator="equal" aboveAverage="0" equalAverage="0" bottom="0" percent="0" rank="0" text="" dxfId="2">
      <formula>"Medium"</formula>
    </cfRule>
    <cfRule type="cellIs" priority="9" operator="equal" aboveAverage="0" equalAverage="0" bottom="0" percent="0" rank="0" text="" dxfId="3">
      <formula>"Low"</formula>
    </cfRule>
  </conditionalFormatting>
  <dataValidations count="1">
    <dataValidation allowBlank="false" error="Enter a whole number from 1 to 5." errorStyle="stop" errorTitle="Invalid score" operator="between" showDropDown="false" showErrorMessage="true" showInputMessage="false" sqref="G2:K4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44"/>
    <col collapsed="false" customWidth="true" hidden="false" outlineLevel="0" max="4" min="4" style="0" width="8"/>
    <col collapsed="false" customWidth="true" hidden="false" outlineLevel="0" max="5" min="5" style="0" width="100"/>
  </cols>
  <sheetData>
    <row r="1" customFormat="false" ht="15" hidden="false" customHeight="false" outlineLevel="0" collapsed="false">
      <c r="A1" s="1" t="s">
        <v>181</v>
      </c>
      <c r="B1" s="1" t="s">
        <v>182</v>
      </c>
      <c r="C1" s="1" t="s">
        <v>64</v>
      </c>
      <c r="D1" s="1" t="s">
        <v>246</v>
      </c>
      <c r="E1" s="1" t="s">
        <v>247</v>
      </c>
    </row>
    <row r="2" customFormat="false" ht="15" hidden="false" customHeight="false" outlineLevel="0" collapsed="false">
      <c r="A2" s="3" t="s">
        <v>202</v>
      </c>
      <c r="B2" s="3" t="s">
        <v>203</v>
      </c>
      <c r="C2" s="3" t="s">
        <v>248</v>
      </c>
      <c r="D2" s="3" t="n">
        <v>3</v>
      </c>
      <c r="E2" s="3" t="s">
        <v>249</v>
      </c>
    </row>
    <row r="3" customFormat="false" ht="15" hidden="false" customHeight="false" outlineLevel="0" collapsed="false">
      <c r="A3" s="3" t="s">
        <v>202</v>
      </c>
      <c r="B3" s="3" t="s">
        <v>203</v>
      </c>
      <c r="C3" s="3" t="s">
        <v>250</v>
      </c>
      <c r="D3" s="3" t="n">
        <v>4</v>
      </c>
      <c r="E3" s="3" t="s">
        <v>251</v>
      </c>
    </row>
    <row r="4" customFormat="false" ht="15" hidden="false" customHeight="false" outlineLevel="0" collapsed="false">
      <c r="A4" s="3" t="s">
        <v>202</v>
      </c>
      <c r="B4" s="3" t="s">
        <v>203</v>
      </c>
      <c r="C4" s="3" t="s">
        <v>252</v>
      </c>
      <c r="D4" s="3" t="n">
        <v>2</v>
      </c>
      <c r="E4" s="3" t="s">
        <v>253</v>
      </c>
    </row>
    <row r="5" customFormat="false" ht="15" hidden="false" customHeight="false" outlineLevel="0" collapsed="false">
      <c r="A5" s="3" t="s">
        <v>202</v>
      </c>
      <c r="B5" s="3" t="s">
        <v>203</v>
      </c>
      <c r="C5" s="3" t="s">
        <v>254</v>
      </c>
      <c r="D5" s="3" t="n">
        <v>4</v>
      </c>
      <c r="E5" s="3" t="s">
        <v>255</v>
      </c>
    </row>
    <row r="6" customFormat="false" ht="15" hidden="false" customHeight="false" outlineLevel="0" collapsed="false">
      <c r="A6" s="3" t="s">
        <v>202</v>
      </c>
      <c r="B6" s="3" t="s">
        <v>203</v>
      </c>
      <c r="C6" s="3" t="s">
        <v>256</v>
      </c>
      <c r="D6" s="3" t="n">
        <v>2</v>
      </c>
      <c r="E6" s="3" t="s">
        <v>257</v>
      </c>
    </row>
    <row r="7" customFormat="false" ht="15" hidden="false" customHeight="false" outlineLevel="0" collapsed="false">
      <c r="A7" s="3" t="s">
        <v>208</v>
      </c>
      <c r="B7" s="3" t="s">
        <v>209</v>
      </c>
      <c r="C7" s="3" t="s">
        <v>248</v>
      </c>
      <c r="D7" s="3" t="n">
        <v>5</v>
      </c>
      <c r="E7" s="3" t="s">
        <v>258</v>
      </c>
    </row>
    <row r="8" customFormat="false" ht="15" hidden="false" customHeight="false" outlineLevel="0" collapsed="false">
      <c r="A8" s="3" t="s">
        <v>208</v>
      </c>
      <c r="B8" s="3" t="s">
        <v>209</v>
      </c>
      <c r="C8" s="3" t="s">
        <v>250</v>
      </c>
      <c r="D8" s="3" t="n">
        <v>5</v>
      </c>
      <c r="E8" s="3" t="s">
        <v>259</v>
      </c>
    </row>
    <row r="9" customFormat="false" ht="15" hidden="false" customHeight="false" outlineLevel="0" collapsed="false">
      <c r="A9" s="3" t="s">
        <v>208</v>
      </c>
      <c r="B9" s="3" t="s">
        <v>209</v>
      </c>
      <c r="C9" s="3" t="s">
        <v>252</v>
      </c>
      <c r="D9" s="3" t="n">
        <v>2</v>
      </c>
      <c r="E9" s="3" t="s">
        <v>260</v>
      </c>
    </row>
    <row r="10" customFormat="false" ht="15" hidden="false" customHeight="false" outlineLevel="0" collapsed="false">
      <c r="A10" s="3" t="s">
        <v>208</v>
      </c>
      <c r="B10" s="3" t="s">
        <v>209</v>
      </c>
      <c r="C10" s="3" t="s">
        <v>254</v>
      </c>
      <c r="D10" s="3" t="n">
        <v>5</v>
      </c>
      <c r="E10" s="3" t="s">
        <v>261</v>
      </c>
    </row>
    <row r="11" customFormat="false" ht="15" hidden="false" customHeight="false" outlineLevel="0" collapsed="false">
      <c r="A11" s="3" t="s">
        <v>208</v>
      </c>
      <c r="B11" s="3" t="s">
        <v>209</v>
      </c>
      <c r="C11" s="3" t="s">
        <v>256</v>
      </c>
      <c r="D11" s="3" t="n">
        <v>4</v>
      </c>
      <c r="E11" s="3" t="s">
        <v>262</v>
      </c>
    </row>
    <row r="12" customFormat="false" ht="15" hidden="false" customHeight="false" outlineLevel="0" collapsed="false">
      <c r="A12" s="3" t="s">
        <v>212</v>
      </c>
      <c r="B12" s="3" t="s">
        <v>213</v>
      </c>
      <c r="C12" s="3" t="s">
        <v>248</v>
      </c>
      <c r="D12" s="3" t="n">
        <v>1</v>
      </c>
      <c r="E12" s="3" t="s">
        <v>263</v>
      </c>
    </row>
    <row r="13" customFormat="false" ht="15" hidden="false" customHeight="false" outlineLevel="0" collapsed="false">
      <c r="A13" s="3" t="s">
        <v>212</v>
      </c>
      <c r="B13" s="3" t="s">
        <v>213</v>
      </c>
      <c r="C13" s="3" t="s">
        <v>250</v>
      </c>
      <c r="D13" s="3" t="n">
        <v>1</v>
      </c>
      <c r="E13" s="3" t="s">
        <v>264</v>
      </c>
    </row>
    <row r="14" customFormat="false" ht="15" hidden="false" customHeight="false" outlineLevel="0" collapsed="false">
      <c r="A14" s="3" t="s">
        <v>212</v>
      </c>
      <c r="B14" s="3" t="s">
        <v>213</v>
      </c>
      <c r="C14" s="3" t="s">
        <v>252</v>
      </c>
      <c r="D14" s="3" t="n">
        <v>2</v>
      </c>
      <c r="E14" s="3" t="s">
        <v>265</v>
      </c>
    </row>
    <row r="15" customFormat="false" ht="15" hidden="false" customHeight="false" outlineLevel="0" collapsed="false">
      <c r="A15" s="3" t="s">
        <v>212</v>
      </c>
      <c r="B15" s="3" t="s">
        <v>213</v>
      </c>
      <c r="C15" s="3" t="s">
        <v>254</v>
      </c>
      <c r="D15" s="3" t="n">
        <v>1</v>
      </c>
      <c r="E15" s="3" t="s">
        <v>266</v>
      </c>
    </row>
    <row r="16" customFormat="false" ht="15" hidden="false" customHeight="false" outlineLevel="0" collapsed="false">
      <c r="A16" s="3" t="s">
        <v>212</v>
      </c>
      <c r="B16" s="3" t="s">
        <v>213</v>
      </c>
      <c r="C16" s="3" t="s">
        <v>256</v>
      </c>
      <c r="D16" s="3" t="n">
        <v>1</v>
      </c>
      <c r="E16" s="3" t="s">
        <v>267</v>
      </c>
    </row>
    <row r="17" customFormat="false" ht="15" hidden="false" customHeight="false" outlineLevel="0" collapsed="false">
      <c r="A17" s="3" t="s">
        <v>216</v>
      </c>
      <c r="B17" s="3" t="s">
        <v>217</v>
      </c>
      <c r="C17" s="3" t="s">
        <v>248</v>
      </c>
      <c r="D17" s="3" t="n">
        <v>5</v>
      </c>
      <c r="E17" s="3" t="s">
        <v>268</v>
      </c>
    </row>
    <row r="18" customFormat="false" ht="15" hidden="false" customHeight="false" outlineLevel="0" collapsed="false">
      <c r="A18" s="3" t="s">
        <v>216</v>
      </c>
      <c r="B18" s="3" t="s">
        <v>217</v>
      </c>
      <c r="C18" s="3" t="s">
        <v>250</v>
      </c>
      <c r="D18" s="3" t="n">
        <v>2</v>
      </c>
      <c r="E18" s="3" t="s">
        <v>269</v>
      </c>
    </row>
    <row r="19" customFormat="false" ht="15" hidden="false" customHeight="false" outlineLevel="0" collapsed="false">
      <c r="A19" s="3" t="s">
        <v>216</v>
      </c>
      <c r="B19" s="3" t="s">
        <v>217</v>
      </c>
      <c r="C19" s="3" t="s">
        <v>252</v>
      </c>
      <c r="D19" s="3" t="n">
        <v>4</v>
      </c>
      <c r="E19" s="3" t="s">
        <v>270</v>
      </c>
    </row>
    <row r="20" customFormat="false" ht="15" hidden="false" customHeight="false" outlineLevel="0" collapsed="false">
      <c r="A20" s="3" t="s">
        <v>216</v>
      </c>
      <c r="B20" s="3" t="s">
        <v>217</v>
      </c>
      <c r="C20" s="3" t="s">
        <v>254</v>
      </c>
      <c r="D20" s="3" t="n">
        <v>2</v>
      </c>
      <c r="E20" s="3" t="s">
        <v>271</v>
      </c>
    </row>
    <row r="21" customFormat="false" ht="15" hidden="false" customHeight="false" outlineLevel="0" collapsed="false">
      <c r="A21" s="3" t="s">
        <v>216</v>
      </c>
      <c r="B21" s="3" t="s">
        <v>217</v>
      </c>
      <c r="C21" s="3" t="s">
        <v>256</v>
      </c>
      <c r="D21" s="3" t="n">
        <v>2</v>
      </c>
      <c r="E21" s="3" t="s">
        <v>272</v>
      </c>
    </row>
    <row r="22" customFormat="false" ht="15" hidden="false" customHeight="false" outlineLevel="0" collapsed="false">
      <c r="A22" s="3" t="s">
        <v>220</v>
      </c>
      <c r="B22" s="3" t="s">
        <v>221</v>
      </c>
      <c r="C22" s="3" t="s">
        <v>248</v>
      </c>
      <c r="D22" s="3" t="n">
        <v>3</v>
      </c>
      <c r="E22" s="3" t="s">
        <v>273</v>
      </c>
    </row>
    <row r="23" customFormat="false" ht="15" hidden="false" customHeight="false" outlineLevel="0" collapsed="false">
      <c r="A23" s="3" t="s">
        <v>220</v>
      </c>
      <c r="B23" s="3" t="s">
        <v>221</v>
      </c>
      <c r="C23" s="3" t="s">
        <v>250</v>
      </c>
      <c r="D23" s="3" t="n">
        <v>4</v>
      </c>
      <c r="E23" s="3" t="s">
        <v>274</v>
      </c>
    </row>
    <row r="24" customFormat="false" ht="15" hidden="false" customHeight="false" outlineLevel="0" collapsed="false">
      <c r="A24" s="3" t="s">
        <v>220</v>
      </c>
      <c r="B24" s="3" t="s">
        <v>221</v>
      </c>
      <c r="C24" s="3" t="s">
        <v>252</v>
      </c>
      <c r="D24" s="3" t="n">
        <v>1</v>
      </c>
      <c r="E24" s="3" t="s">
        <v>275</v>
      </c>
    </row>
    <row r="25" customFormat="false" ht="15" hidden="false" customHeight="false" outlineLevel="0" collapsed="false">
      <c r="A25" s="3" t="s">
        <v>220</v>
      </c>
      <c r="B25" s="3" t="s">
        <v>221</v>
      </c>
      <c r="C25" s="3" t="s">
        <v>254</v>
      </c>
      <c r="D25" s="3" t="n">
        <v>4</v>
      </c>
      <c r="E25" s="3" t="s">
        <v>276</v>
      </c>
    </row>
    <row r="26" customFormat="false" ht="15" hidden="false" customHeight="false" outlineLevel="0" collapsed="false">
      <c r="A26" s="3" t="s">
        <v>220</v>
      </c>
      <c r="B26" s="3" t="s">
        <v>221</v>
      </c>
      <c r="C26" s="3" t="s">
        <v>256</v>
      </c>
      <c r="D26" s="3" t="n">
        <v>3</v>
      </c>
      <c r="E26" s="3" t="s">
        <v>277</v>
      </c>
    </row>
    <row r="27" customFormat="false" ht="15" hidden="false" customHeight="false" outlineLevel="0" collapsed="false">
      <c r="A27" s="3" t="s">
        <v>225</v>
      </c>
      <c r="B27" s="3" t="s">
        <v>226</v>
      </c>
      <c r="C27" s="3" t="s">
        <v>248</v>
      </c>
      <c r="D27" s="3" t="n">
        <v>3</v>
      </c>
      <c r="E27" s="3" t="s">
        <v>278</v>
      </c>
    </row>
    <row r="28" customFormat="false" ht="15" hidden="false" customHeight="false" outlineLevel="0" collapsed="false">
      <c r="A28" s="3" t="s">
        <v>225</v>
      </c>
      <c r="B28" s="3" t="s">
        <v>226</v>
      </c>
      <c r="C28" s="3" t="s">
        <v>250</v>
      </c>
      <c r="D28" s="3" t="n">
        <v>3</v>
      </c>
      <c r="E28" s="3" t="s">
        <v>279</v>
      </c>
    </row>
    <row r="29" customFormat="false" ht="15" hidden="false" customHeight="false" outlineLevel="0" collapsed="false">
      <c r="A29" s="3" t="s">
        <v>225</v>
      </c>
      <c r="B29" s="3" t="s">
        <v>226</v>
      </c>
      <c r="C29" s="3" t="s">
        <v>252</v>
      </c>
      <c r="D29" s="3" t="n">
        <v>1</v>
      </c>
      <c r="E29" s="3" t="s">
        <v>280</v>
      </c>
    </row>
    <row r="30" customFormat="false" ht="15" hidden="false" customHeight="false" outlineLevel="0" collapsed="false">
      <c r="A30" s="3" t="s">
        <v>225</v>
      </c>
      <c r="B30" s="3" t="s">
        <v>226</v>
      </c>
      <c r="C30" s="3" t="s">
        <v>254</v>
      </c>
      <c r="D30" s="3" t="n">
        <v>3</v>
      </c>
      <c r="E30" s="3" t="s">
        <v>281</v>
      </c>
    </row>
    <row r="31" customFormat="false" ht="15" hidden="false" customHeight="false" outlineLevel="0" collapsed="false">
      <c r="A31" s="3" t="s">
        <v>225</v>
      </c>
      <c r="B31" s="3" t="s">
        <v>226</v>
      </c>
      <c r="C31" s="3" t="s">
        <v>256</v>
      </c>
      <c r="D31" s="3" t="n">
        <v>2</v>
      </c>
      <c r="E31" s="3" t="s">
        <v>282</v>
      </c>
    </row>
    <row r="32" customFormat="false" ht="15" hidden="false" customHeight="false" outlineLevel="0" collapsed="false">
      <c r="A32" s="3" t="s">
        <v>229</v>
      </c>
      <c r="B32" s="3" t="s">
        <v>230</v>
      </c>
      <c r="C32" s="3" t="s">
        <v>248</v>
      </c>
      <c r="D32" s="3" t="n">
        <v>1</v>
      </c>
      <c r="E32" s="3" t="s">
        <v>283</v>
      </c>
    </row>
    <row r="33" customFormat="false" ht="15" hidden="false" customHeight="false" outlineLevel="0" collapsed="false">
      <c r="A33" s="3" t="s">
        <v>229</v>
      </c>
      <c r="B33" s="3" t="s">
        <v>230</v>
      </c>
      <c r="C33" s="3" t="s">
        <v>250</v>
      </c>
      <c r="D33" s="3" t="n">
        <v>1</v>
      </c>
      <c r="E33" s="3" t="s">
        <v>75</v>
      </c>
    </row>
    <row r="34" customFormat="false" ht="15" hidden="false" customHeight="false" outlineLevel="0" collapsed="false">
      <c r="A34" s="3" t="s">
        <v>229</v>
      </c>
      <c r="B34" s="3" t="s">
        <v>230</v>
      </c>
      <c r="C34" s="3" t="s">
        <v>252</v>
      </c>
      <c r="D34" s="3" t="n">
        <v>1</v>
      </c>
      <c r="E34" s="3" t="s">
        <v>280</v>
      </c>
    </row>
    <row r="35" customFormat="false" ht="15" hidden="false" customHeight="false" outlineLevel="0" collapsed="false">
      <c r="A35" s="3" t="s">
        <v>229</v>
      </c>
      <c r="B35" s="3" t="s">
        <v>230</v>
      </c>
      <c r="C35" s="3" t="s">
        <v>254</v>
      </c>
      <c r="D35" s="3" t="n">
        <v>1</v>
      </c>
      <c r="E35" s="3" t="s">
        <v>284</v>
      </c>
    </row>
    <row r="36" customFormat="false" ht="15" hidden="false" customHeight="false" outlineLevel="0" collapsed="false">
      <c r="A36" s="3" t="s">
        <v>229</v>
      </c>
      <c r="B36" s="3" t="s">
        <v>230</v>
      </c>
      <c r="C36" s="3" t="s">
        <v>256</v>
      </c>
      <c r="D36" s="3" t="n">
        <v>1</v>
      </c>
      <c r="E36" s="3" t="s">
        <v>285</v>
      </c>
    </row>
    <row r="37" customFormat="false" ht="15" hidden="false" customHeight="false" outlineLevel="0" collapsed="false">
      <c r="A37" s="3" t="s">
        <v>233</v>
      </c>
      <c r="B37" s="3" t="s">
        <v>234</v>
      </c>
      <c r="C37" s="3" t="s">
        <v>248</v>
      </c>
      <c r="D37" s="3" t="n">
        <v>4</v>
      </c>
      <c r="E37" s="3" t="s">
        <v>286</v>
      </c>
    </row>
    <row r="38" customFormat="false" ht="15" hidden="false" customHeight="false" outlineLevel="0" collapsed="false">
      <c r="A38" s="3" t="s">
        <v>233</v>
      </c>
      <c r="B38" s="3" t="s">
        <v>234</v>
      </c>
      <c r="C38" s="3" t="s">
        <v>250</v>
      </c>
      <c r="D38" s="3" t="n">
        <v>5</v>
      </c>
      <c r="E38" s="3" t="s">
        <v>287</v>
      </c>
    </row>
    <row r="39" customFormat="false" ht="15" hidden="false" customHeight="false" outlineLevel="0" collapsed="false">
      <c r="A39" s="3" t="s">
        <v>233</v>
      </c>
      <c r="B39" s="3" t="s">
        <v>234</v>
      </c>
      <c r="C39" s="3" t="s">
        <v>252</v>
      </c>
      <c r="D39" s="3" t="n">
        <v>2</v>
      </c>
      <c r="E39" s="3" t="s">
        <v>288</v>
      </c>
    </row>
    <row r="40" customFormat="false" ht="15" hidden="false" customHeight="false" outlineLevel="0" collapsed="false">
      <c r="A40" s="3" t="s">
        <v>233</v>
      </c>
      <c r="B40" s="3" t="s">
        <v>234</v>
      </c>
      <c r="C40" s="3" t="s">
        <v>254</v>
      </c>
      <c r="D40" s="3" t="n">
        <v>5</v>
      </c>
      <c r="E40" s="3" t="s">
        <v>289</v>
      </c>
    </row>
    <row r="41" customFormat="false" ht="15" hidden="false" customHeight="false" outlineLevel="0" collapsed="false">
      <c r="A41" s="3" t="s">
        <v>233</v>
      </c>
      <c r="B41" s="3" t="s">
        <v>234</v>
      </c>
      <c r="C41" s="3" t="s">
        <v>256</v>
      </c>
      <c r="D41" s="3" t="n">
        <v>4</v>
      </c>
      <c r="E41" s="3" t="s">
        <v>290</v>
      </c>
    </row>
    <row r="42" customFormat="false" ht="15" hidden="false" customHeight="false" outlineLevel="0" collapsed="false">
      <c r="A42" s="3" t="s">
        <v>238</v>
      </c>
      <c r="B42" s="3" t="s">
        <v>239</v>
      </c>
      <c r="C42" s="3" t="s">
        <v>248</v>
      </c>
      <c r="D42" s="3" t="n">
        <v>2</v>
      </c>
      <c r="E42" s="3" t="s">
        <v>291</v>
      </c>
    </row>
    <row r="43" customFormat="false" ht="15" hidden="false" customHeight="false" outlineLevel="0" collapsed="false">
      <c r="A43" s="3" t="s">
        <v>238</v>
      </c>
      <c r="B43" s="3" t="s">
        <v>239</v>
      </c>
      <c r="C43" s="3" t="s">
        <v>250</v>
      </c>
      <c r="D43" s="3" t="n">
        <v>2</v>
      </c>
      <c r="E43" s="3" t="s">
        <v>292</v>
      </c>
    </row>
    <row r="44" customFormat="false" ht="15" hidden="false" customHeight="false" outlineLevel="0" collapsed="false">
      <c r="A44" s="3" t="s">
        <v>238</v>
      </c>
      <c r="B44" s="3" t="s">
        <v>239</v>
      </c>
      <c r="C44" s="3" t="s">
        <v>252</v>
      </c>
      <c r="D44" s="3" t="n">
        <v>2</v>
      </c>
      <c r="E44" s="3" t="s">
        <v>293</v>
      </c>
    </row>
    <row r="45" customFormat="false" ht="15" hidden="false" customHeight="false" outlineLevel="0" collapsed="false">
      <c r="A45" s="3" t="s">
        <v>238</v>
      </c>
      <c r="B45" s="3" t="s">
        <v>239</v>
      </c>
      <c r="C45" s="3" t="s">
        <v>254</v>
      </c>
      <c r="D45" s="3" t="n">
        <v>2</v>
      </c>
      <c r="E45" s="3" t="s">
        <v>271</v>
      </c>
    </row>
    <row r="46" customFormat="false" ht="15" hidden="false" customHeight="false" outlineLevel="0" collapsed="false">
      <c r="A46" s="3" t="s">
        <v>238</v>
      </c>
      <c r="B46" s="3" t="s">
        <v>239</v>
      </c>
      <c r="C46" s="3" t="s">
        <v>256</v>
      </c>
      <c r="D46" s="3" t="n">
        <v>3</v>
      </c>
      <c r="E46" s="3" t="s">
        <v>294</v>
      </c>
    </row>
    <row r="47" customFormat="false" ht="15" hidden="false" customHeight="false" outlineLevel="0" collapsed="false">
      <c r="A47" s="3" t="s">
        <v>242</v>
      </c>
      <c r="B47" s="3" t="s">
        <v>243</v>
      </c>
      <c r="C47" s="3" t="s">
        <v>248</v>
      </c>
      <c r="D47" s="3" t="n">
        <v>2</v>
      </c>
      <c r="E47" s="3" t="s">
        <v>295</v>
      </c>
    </row>
    <row r="48" customFormat="false" ht="15" hidden="false" customHeight="false" outlineLevel="0" collapsed="false">
      <c r="A48" s="3" t="s">
        <v>242</v>
      </c>
      <c r="B48" s="3" t="s">
        <v>243</v>
      </c>
      <c r="C48" s="3" t="s">
        <v>250</v>
      </c>
      <c r="D48" s="3" t="n">
        <v>1</v>
      </c>
      <c r="E48" s="3" t="s">
        <v>75</v>
      </c>
    </row>
    <row r="49" customFormat="false" ht="15" hidden="false" customHeight="false" outlineLevel="0" collapsed="false">
      <c r="A49" s="3" t="s">
        <v>242</v>
      </c>
      <c r="B49" s="3" t="s">
        <v>243</v>
      </c>
      <c r="C49" s="3" t="s">
        <v>252</v>
      </c>
      <c r="D49" s="3" t="n">
        <v>2</v>
      </c>
      <c r="E49" s="3" t="s">
        <v>296</v>
      </c>
    </row>
    <row r="50" customFormat="false" ht="15" hidden="false" customHeight="false" outlineLevel="0" collapsed="false">
      <c r="A50" s="3" t="s">
        <v>242</v>
      </c>
      <c r="B50" s="3" t="s">
        <v>243</v>
      </c>
      <c r="C50" s="3" t="s">
        <v>254</v>
      </c>
      <c r="D50" s="3" t="n">
        <v>1</v>
      </c>
      <c r="E50" s="3" t="s">
        <v>297</v>
      </c>
    </row>
    <row r="51" customFormat="false" ht="15" hidden="false" customHeight="false" outlineLevel="0" collapsed="false">
      <c r="A51" s="3" t="s">
        <v>242</v>
      </c>
      <c r="B51" s="3" t="s">
        <v>243</v>
      </c>
      <c r="C51" s="3" t="s">
        <v>256</v>
      </c>
      <c r="D51" s="3" t="n">
        <v>2</v>
      </c>
      <c r="E51" s="3"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14"/>
    <col collapsed="false" customWidth="true" hidden="false" outlineLevel="0" max="7" min="7" style="0" width="22"/>
    <col collapsed="false" customWidth="true" hidden="false" outlineLevel="0" max="8" min="8" style="0" width="60"/>
  </cols>
  <sheetData>
    <row r="1" customFormat="false" ht="15" hidden="false" customHeight="false" outlineLevel="0" collapsed="false">
      <c r="A1" s="1" t="s">
        <v>299</v>
      </c>
      <c r="B1" s="1" t="s">
        <v>300</v>
      </c>
      <c r="C1" s="1" t="s">
        <v>301</v>
      </c>
      <c r="D1" s="1" t="s">
        <v>302</v>
      </c>
      <c r="E1" s="1" t="s">
        <v>303</v>
      </c>
      <c r="F1" s="1" t="s">
        <v>304</v>
      </c>
      <c r="G1" s="1" t="s">
        <v>305</v>
      </c>
      <c r="H1" s="1" t="s">
        <v>306</v>
      </c>
    </row>
    <row r="2" customFormat="false" ht="15" hidden="false" customHeight="false" outlineLevel="0" collapsed="false">
      <c r="A2" s="3" t="s">
        <v>181</v>
      </c>
      <c r="B2" s="3" t="s">
        <v>307</v>
      </c>
      <c r="C2" s="3" t="s">
        <v>308</v>
      </c>
      <c r="D2" s="3" t="s">
        <v>309</v>
      </c>
      <c r="E2" s="3" t="s">
        <v>310</v>
      </c>
      <c r="F2" s="3" t="s">
        <v>311</v>
      </c>
      <c r="G2" s="3" t="s">
        <v>202</v>
      </c>
      <c r="H2" s="3" t="s">
        <v>312</v>
      </c>
    </row>
    <row r="3" customFormat="false" ht="23.85" hidden="false" customHeight="false" outlineLevel="0" collapsed="false">
      <c r="A3" s="3" t="s">
        <v>182</v>
      </c>
      <c r="B3" s="3" t="s">
        <v>313</v>
      </c>
      <c r="C3" s="3" t="s">
        <v>314</v>
      </c>
      <c r="D3" s="3" t="s">
        <v>309</v>
      </c>
      <c r="E3" s="3" t="s">
        <v>315</v>
      </c>
      <c r="F3" s="3" t="s">
        <v>311</v>
      </c>
      <c r="G3" s="3" t="s">
        <v>203</v>
      </c>
      <c r="H3" s="3" t="s">
        <v>316</v>
      </c>
    </row>
    <row r="4" customFormat="false" ht="15" hidden="false" customHeight="false" outlineLevel="0" collapsed="false">
      <c r="A4" s="3" t="s">
        <v>183</v>
      </c>
      <c r="B4" s="3" t="s">
        <v>317</v>
      </c>
      <c r="C4" s="3" t="s">
        <v>318</v>
      </c>
      <c r="D4" s="3" t="s">
        <v>319</v>
      </c>
      <c r="E4" s="3" t="s">
        <v>320</v>
      </c>
      <c r="F4" s="3" t="s">
        <v>321</v>
      </c>
      <c r="G4" s="3" t="s">
        <v>204</v>
      </c>
      <c r="H4" s="3" t="s">
        <v>322</v>
      </c>
    </row>
    <row r="5" customFormat="false" ht="23.85" hidden="false" customHeight="false" outlineLevel="0" collapsed="false">
      <c r="A5" s="3" t="s">
        <v>184</v>
      </c>
      <c r="B5" s="3" t="s">
        <v>323</v>
      </c>
      <c r="C5" s="3" t="s">
        <v>324</v>
      </c>
      <c r="D5" s="3" t="s">
        <v>309</v>
      </c>
      <c r="E5" s="3" t="s">
        <v>325</v>
      </c>
      <c r="F5" s="3" t="s">
        <v>326</v>
      </c>
      <c r="G5" s="3" t="s">
        <v>32</v>
      </c>
      <c r="H5" s="3" t="s">
        <v>327</v>
      </c>
    </row>
    <row r="6" customFormat="false" ht="23.85" hidden="false" customHeight="false" outlineLevel="0" collapsed="false">
      <c r="A6" s="3" t="s">
        <v>185</v>
      </c>
      <c r="B6" s="3" t="s">
        <v>328</v>
      </c>
      <c r="C6" s="3" t="s">
        <v>329</v>
      </c>
      <c r="D6" s="3" t="s">
        <v>309</v>
      </c>
      <c r="E6" s="3" t="s">
        <v>330</v>
      </c>
      <c r="F6" s="3" t="s">
        <v>331</v>
      </c>
      <c r="G6" s="3" t="s">
        <v>205</v>
      </c>
      <c r="H6" s="3" t="s">
        <v>332</v>
      </c>
    </row>
    <row r="7" customFormat="false" ht="23.85" hidden="false" customHeight="false" outlineLevel="0" collapsed="false">
      <c r="A7" s="3" t="s">
        <v>333</v>
      </c>
      <c r="B7" s="3" t="s">
        <v>334</v>
      </c>
      <c r="C7" s="3" t="s">
        <v>335</v>
      </c>
      <c r="D7" s="3" t="s">
        <v>309</v>
      </c>
      <c r="E7" s="3" t="s">
        <v>320</v>
      </c>
      <c r="F7" s="3" t="s">
        <v>311</v>
      </c>
      <c r="G7" s="3" t="s">
        <v>336</v>
      </c>
      <c r="H7" s="3" t="s">
        <v>337</v>
      </c>
    </row>
    <row r="8" customFormat="false" ht="15" hidden="false" customHeight="false" outlineLevel="0" collapsed="false">
      <c r="A8" s="3" t="s">
        <v>338</v>
      </c>
      <c r="B8" s="3" t="s">
        <v>339</v>
      </c>
      <c r="C8" s="3" t="s">
        <v>340</v>
      </c>
      <c r="D8" s="3" t="s">
        <v>309</v>
      </c>
      <c r="E8" s="3" t="s">
        <v>341</v>
      </c>
      <c r="F8" s="3" t="s">
        <v>311</v>
      </c>
      <c r="G8" s="3" t="s">
        <v>342</v>
      </c>
      <c r="H8" s="3" t="s">
        <v>343</v>
      </c>
    </row>
    <row r="9" customFormat="false" ht="15" hidden="false" customHeight="false" outlineLevel="0" collapsed="false">
      <c r="A9" s="3" t="s">
        <v>344</v>
      </c>
      <c r="B9" s="3" t="s">
        <v>345</v>
      </c>
      <c r="C9" s="3" t="s">
        <v>318</v>
      </c>
      <c r="D9" s="3" t="s">
        <v>309</v>
      </c>
      <c r="E9" s="3" t="s">
        <v>320</v>
      </c>
      <c r="F9" s="3" t="s">
        <v>311</v>
      </c>
      <c r="G9" s="3" t="s">
        <v>346</v>
      </c>
      <c r="H9" s="3" t="s">
        <v>347</v>
      </c>
    </row>
    <row r="10" customFormat="false" ht="23.85" hidden="false" customHeight="false" outlineLevel="0" collapsed="false">
      <c r="A10" s="3" t="s">
        <v>348</v>
      </c>
      <c r="B10" s="3" t="s">
        <v>349</v>
      </c>
      <c r="C10" s="3" t="s">
        <v>318</v>
      </c>
      <c r="D10" s="3" t="s">
        <v>350</v>
      </c>
      <c r="E10" s="3" t="s">
        <v>320</v>
      </c>
      <c r="F10" s="3" t="s">
        <v>311</v>
      </c>
      <c r="G10" s="3" t="s">
        <v>346</v>
      </c>
      <c r="H10" s="3" t="s">
        <v>351</v>
      </c>
    </row>
    <row r="11" customFormat="false" ht="15" hidden="false" customHeight="false" outlineLevel="0" collapsed="false">
      <c r="A11" s="3" t="s">
        <v>352</v>
      </c>
      <c r="B11" s="3" t="s">
        <v>353</v>
      </c>
      <c r="C11" s="3" t="s">
        <v>354</v>
      </c>
      <c r="D11" s="3" t="s">
        <v>309</v>
      </c>
      <c r="E11" s="3" t="s">
        <v>355</v>
      </c>
      <c r="F11" s="3" t="s">
        <v>311</v>
      </c>
      <c r="G11" s="3" t="s">
        <v>356</v>
      </c>
      <c r="H11" s="3" t="s">
        <v>357</v>
      </c>
    </row>
    <row r="12" customFormat="false" ht="15" hidden="false" customHeight="false" outlineLevel="0" collapsed="false">
      <c r="A12" s="3" t="s">
        <v>358</v>
      </c>
      <c r="B12" s="3" t="s">
        <v>359</v>
      </c>
      <c r="C12" s="3" t="s">
        <v>354</v>
      </c>
      <c r="D12" s="3" t="s">
        <v>309</v>
      </c>
      <c r="E12" s="3" t="s">
        <v>360</v>
      </c>
      <c r="F12" s="3" t="s">
        <v>311</v>
      </c>
      <c r="G12" s="3" t="s">
        <v>361</v>
      </c>
      <c r="H12" s="3" t="s">
        <v>362</v>
      </c>
    </row>
    <row r="13" customFormat="false" ht="15" hidden="false" customHeight="false" outlineLevel="0" collapsed="false">
      <c r="A13" s="3" t="s">
        <v>187</v>
      </c>
      <c r="B13" s="3" t="s">
        <v>363</v>
      </c>
      <c r="C13" s="3" t="s">
        <v>364</v>
      </c>
      <c r="D13" s="3" t="s">
        <v>309</v>
      </c>
      <c r="E13" s="3" t="s">
        <v>365</v>
      </c>
      <c r="F13" s="3" t="s">
        <v>311</v>
      </c>
      <c r="G13" s="3" t="s">
        <v>366</v>
      </c>
      <c r="H13" s="3"/>
    </row>
    <row r="14" customFormat="false" ht="15" hidden="false" customHeight="false" outlineLevel="0" collapsed="false">
      <c r="A14" s="3" t="s">
        <v>188</v>
      </c>
      <c r="B14" s="3" t="s">
        <v>367</v>
      </c>
      <c r="C14" s="3" t="s">
        <v>364</v>
      </c>
      <c r="D14" s="3" t="s">
        <v>309</v>
      </c>
      <c r="E14" s="3" t="s">
        <v>365</v>
      </c>
      <c r="F14" s="3" t="s">
        <v>311</v>
      </c>
      <c r="G14" s="3" t="s">
        <v>368</v>
      </c>
      <c r="H14" s="3"/>
    </row>
    <row r="15" customFormat="false" ht="15" hidden="false" customHeight="false" outlineLevel="0" collapsed="false">
      <c r="A15" s="3" t="s">
        <v>189</v>
      </c>
      <c r="B15" s="3" t="s">
        <v>369</v>
      </c>
      <c r="C15" s="3" t="s">
        <v>364</v>
      </c>
      <c r="D15" s="3" t="s">
        <v>309</v>
      </c>
      <c r="E15" s="3" t="s">
        <v>365</v>
      </c>
      <c r="F15" s="3" t="s">
        <v>311</v>
      </c>
      <c r="G15" s="3" t="s">
        <v>370</v>
      </c>
      <c r="H15" s="3"/>
    </row>
    <row r="16" customFormat="false" ht="15" hidden="false" customHeight="false" outlineLevel="0" collapsed="false">
      <c r="A16" s="3" t="s">
        <v>190</v>
      </c>
      <c r="B16" s="3" t="s">
        <v>371</v>
      </c>
      <c r="C16" s="3" t="s">
        <v>364</v>
      </c>
      <c r="D16" s="3" t="s">
        <v>309</v>
      </c>
      <c r="E16" s="3" t="s">
        <v>365</v>
      </c>
      <c r="F16" s="3" t="s">
        <v>311</v>
      </c>
      <c r="G16" s="3" t="s">
        <v>368</v>
      </c>
      <c r="H16" s="3"/>
    </row>
    <row r="17" customFormat="false" ht="15" hidden="false" customHeight="false" outlineLevel="0" collapsed="false">
      <c r="A17" s="3" t="s">
        <v>191</v>
      </c>
      <c r="B17" s="3" t="s">
        <v>372</v>
      </c>
      <c r="C17" s="3" t="s">
        <v>364</v>
      </c>
      <c r="D17" s="3" t="s">
        <v>309</v>
      </c>
      <c r="E17" s="3" t="s">
        <v>365</v>
      </c>
      <c r="F17" s="3" t="s">
        <v>311</v>
      </c>
      <c r="G17" s="3" t="s">
        <v>370</v>
      </c>
      <c r="H17" s="3"/>
    </row>
    <row r="18" customFormat="false" ht="35.05" hidden="false" customHeight="false" outlineLevel="0" collapsed="false">
      <c r="A18" s="3" t="s">
        <v>373</v>
      </c>
      <c r="B18" s="3" t="s">
        <v>374</v>
      </c>
      <c r="C18" s="3" t="s">
        <v>335</v>
      </c>
      <c r="D18" s="3" t="s">
        <v>375</v>
      </c>
      <c r="E18" s="3" t="s">
        <v>320</v>
      </c>
      <c r="F18" s="3" t="s">
        <v>311</v>
      </c>
      <c r="G18" s="3" t="s">
        <v>376</v>
      </c>
      <c r="H18" s="3" t="s">
        <v>377</v>
      </c>
    </row>
    <row r="19" customFormat="false" ht="15" hidden="false" customHeight="false" outlineLevel="0" collapsed="false">
      <c r="A19" s="3" t="s">
        <v>192</v>
      </c>
      <c r="B19" s="3" t="s">
        <v>378</v>
      </c>
      <c r="C19" s="3" t="s">
        <v>379</v>
      </c>
      <c r="D19" s="3" t="s">
        <v>380</v>
      </c>
      <c r="E19" s="3" t="s">
        <v>381</v>
      </c>
      <c r="F19" s="3" t="s">
        <v>380</v>
      </c>
      <c r="G19" s="3" t="s">
        <v>382</v>
      </c>
      <c r="H19" s="3" t="s">
        <v>383</v>
      </c>
    </row>
    <row r="20" customFormat="false" ht="15" hidden="false" customHeight="false" outlineLevel="0" collapsed="false">
      <c r="A20" s="3" t="s">
        <v>193</v>
      </c>
      <c r="B20" s="3" t="s">
        <v>384</v>
      </c>
      <c r="C20" s="3" t="s">
        <v>385</v>
      </c>
      <c r="D20" s="3" t="s">
        <v>380</v>
      </c>
      <c r="E20" s="3" t="s">
        <v>386</v>
      </c>
      <c r="F20" s="3" t="s">
        <v>380</v>
      </c>
      <c r="G20" s="3" t="s">
        <v>387</v>
      </c>
      <c r="H20" s="3" t="s">
        <v>388</v>
      </c>
    </row>
    <row r="21" customFormat="false" ht="15" hidden="false" customHeight="false" outlineLevel="0" collapsed="false">
      <c r="A21" s="3" t="s">
        <v>195</v>
      </c>
      <c r="B21" s="3" t="s">
        <v>389</v>
      </c>
      <c r="C21" s="3" t="s">
        <v>390</v>
      </c>
      <c r="D21" s="3" t="s">
        <v>380</v>
      </c>
      <c r="E21" s="3" t="s">
        <v>391</v>
      </c>
      <c r="F21" s="3" t="s">
        <v>380</v>
      </c>
      <c r="G21" s="3" t="s">
        <v>26</v>
      </c>
      <c r="H21" s="3"/>
    </row>
    <row r="22" customFormat="false" ht="15" hidden="false" customHeight="false" outlineLevel="0" collapsed="false">
      <c r="A22" s="3" t="s">
        <v>197</v>
      </c>
      <c r="B22" s="3" t="s">
        <v>392</v>
      </c>
      <c r="C22" s="3" t="s">
        <v>318</v>
      </c>
      <c r="D22" s="3" t="s">
        <v>380</v>
      </c>
      <c r="E22" s="3" t="s">
        <v>393</v>
      </c>
      <c r="F22" s="3" t="s">
        <v>380</v>
      </c>
      <c r="G22" s="3" t="s">
        <v>394</v>
      </c>
      <c r="H22" s="3" t="s">
        <v>395</v>
      </c>
    </row>
    <row r="23" customFormat="false" ht="15" hidden="false" customHeight="false" outlineLevel="0" collapsed="false">
      <c r="A23" s="3" t="s">
        <v>199</v>
      </c>
      <c r="B23" s="3" t="s">
        <v>396</v>
      </c>
      <c r="C23" s="3" t="s">
        <v>390</v>
      </c>
      <c r="D23" s="3" t="s">
        <v>397</v>
      </c>
      <c r="E23" s="3" t="s">
        <v>391</v>
      </c>
      <c r="F23" s="3" t="s">
        <v>380</v>
      </c>
      <c r="G23" s="3" t="s">
        <v>26</v>
      </c>
      <c r="H23" s="3" t="s">
        <v>398</v>
      </c>
    </row>
    <row r="24" customFormat="false" ht="15" hidden="false" customHeight="false" outlineLevel="0" collapsed="false">
      <c r="A24" s="3" t="s">
        <v>200</v>
      </c>
      <c r="B24" s="3" t="s">
        <v>399</v>
      </c>
      <c r="C24" s="3" t="s">
        <v>400</v>
      </c>
      <c r="D24" s="3" t="s">
        <v>380</v>
      </c>
      <c r="E24" s="3" t="s">
        <v>401</v>
      </c>
      <c r="F24" s="3" t="s">
        <v>380</v>
      </c>
      <c r="G24" s="3" t="s">
        <v>402</v>
      </c>
      <c r="H24" s="3" t="s">
        <v>403</v>
      </c>
    </row>
    <row r="25" customFormat="false" ht="23.85" hidden="false" customHeight="false" outlineLevel="0" collapsed="false">
      <c r="A25" s="3" t="s">
        <v>404</v>
      </c>
      <c r="B25" s="3" t="s">
        <v>405</v>
      </c>
      <c r="C25" s="3" t="s">
        <v>390</v>
      </c>
      <c r="D25" s="3" t="s">
        <v>309</v>
      </c>
      <c r="E25" s="3" t="s">
        <v>406</v>
      </c>
      <c r="F25" s="3" t="s">
        <v>311</v>
      </c>
      <c r="G25" s="3" t="s">
        <v>407</v>
      </c>
      <c r="H25" s="3" t="s">
        <v>408</v>
      </c>
    </row>
    <row r="26" customFormat="false" ht="23.85" hidden="false" customHeight="false" outlineLevel="0" collapsed="false">
      <c r="A26" s="3" t="s">
        <v>201</v>
      </c>
      <c r="B26" s="3" t="s">
        <v>409</v>
      </c>
      <c r="C26" s="3" t="s">
        <v>390</v>
      </c>
      <c r="D26" s="3" t="s">
        <v>309</v>
      </c>
      <c r="E26" s="3" t="s">
        <v>410</v>
      </c>
      <c r="F26" s="3" t="s">
        <v>311</v>
      </c>
      <c r="G26" s="3" t="s">
        <v>207</v>
      </c>
      <c r="H26" s="3" t="s">
        <v>411</v>
      </c>
    </row>
    <row r="27" customFormat="false" ht="15" hidden="false" customHeight="false" outlineLevel="0" collapsed="false">
      <c r="A27" s="3" t="s">
        <v>412</v>
      </c>
      <c r="B27" s="3" t="s">
        <v>413</v>
      </c>
      <c r="C27" s="3" t="s">
        <v>400</v>
      </c>
      <c r="D27" s="3" t="s">
        <v>309</v>
      </c>
      <c r="E27" s="3" t="s">
        <v>414</v>
      </c>
      <c r="F27" s="3" t="s">
        <v>415</v>
      </c>
      <c r="G27" s="3" t="s">
        <v>416</v>
      </c>
      <c r="H27" s="3" t="s">
        <v>417</v>
      </c>
    </row>
    <row r="28" customFormat="false" ht="15" hidden="false" customHeight="false" outlineLevel="0" collapsed="false">
      <c r="A28" s="3" t="s">
        <v>418</v>
      </c>
      <c r="B28" s="3" t="s">
        <v>419</v>
      </c>
      <c r="C28" s="3" t="s">
        <v>340</v>
      </c>
      <c r="D28" s="3" t="s">
        <v>319</v>
      </c>
      <c r="E28" s="3" t="s">
        <v>341</v>
      </c>
      <c r="F28" s="3" t="s">
        <v>311</v>
      </c>
      <c r="G28" s="3" t="s">
        <v>420</v>
      </c>
      <c r="H28" s="3" t="s">
        <v>421</v>
      </c>
    </row>
    <row r="29" customFormat="false" ht="15" hidden="false" customHeight="false" outlineLevel="0" collapsed="false">
      <c r="A29" s="3" t="s">
        <v>422</v>
      </c>
      <c r="B29" s="3" t="s">
        <v>423</v>
      </c>
      <c r="C29" s="3" t="s">
        <v>335</v>
      </c>
      <c r="D29" s="3" t="s">
        <v>319</v>
      </c>
      <c r="E29" s="3" t="s">
        <v>320</v>
      </c>
      <c r="F29" s="3" t="s">
        <v>311</v>
      </c>
      <c r="G29" s="3"/>
      <c r="H2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 collapsed="false" customWidth="true" hidden="false" outlineLevel="0" max="6" min="3" style="0" width="18"/>
  </cols>
  <sheetData>
    <row r="1" customFormat="false" ht="15" hidden="false" customHeight="false" outlineLevel="0" collapsed="false">
      <c r="A1" s="12" t="s">
        <v>170</v>
      </c>
      <c r="B1" s="12" t="s">
        <v>424</v>
      </c>
      <c r="C1" s="13"/>
      <c r="D1" s="13"/>
      <c r="E1" s="13"/>
      <c r="F1" s="13"/>
    </row>
    <row r="2" customFormat="false" ht="15" hidden="false" customHeight="false" outlineLevel="0" collapsed="false">
      <c r="A2" s="19" t="s">
        <v>425</v>
      </c>
      <c r="B2" s="13" t="s">
        <v>426</v>
      </c>
      <c r="C2" s="13"/>
      <c r="D2" s="13"/>
      <c r="E2" s="13"/>
      <c r="F2" s="13"/>
    </row>
    <row r="3" customFormat="false" ht="23.85" hidden="false" customHeight="false" outlineLevel="0" collapsed="false">
      <c r="A3" s="19" t="s">
        <v>427</v>
      </c>
      <c r="B3" s="13" t="s">
        <v>428</v>
      </c>
      <c r="C3" s="13"/>
      <c r="D3" s="13"/>
      <c r="E3" s="13"/>
      <c r="F3" s="13"/>
    </row>
    <row r="4" customFormat="false" ht="15" hidden="false" customHeight="false" outlineLevel="0" collapsed="false">
      <c r="A4" s="19" t="s">
        <v>429</v>
      </c>
      <c r="B4" s="13" t="s">
        <v>430</v>
      </c>
      <c r="C4" s="13"/>
      <c r="D4" s="13"/>
      <c r="E4" s="13"/>
      <c r="F4" s="13"/>
    </row>
    <row r="5" customFormat="false" ht="15" hidden="false" customHeight="false" outlineLevel="0" collapsed="false">
      <c r="A5" s="19" t="s">
        <v>431</v>
      </c>
      <c r="B5" s="13" t="s">
        <v>432</v>
      </c>
      <c r="C5" s="13"/>
      <c r="D5" s="13"/>
      <c r="E5" s="13"/>
      <c r="F5" s="13"/>
    </row>
    <row r="6" customFormat="false" ht="15" hidden="false" customHeight="false" outlineLevel="0" collapsed="false">
      <c r="A6" s="19" t="s">
        <v>433</v>
      </c>
      <c r="B6" s="13" t="s">
        <v>434</v>
      </c>
      <c r="C6" s="13"/>
      <c r="D6" s="13"/>
      <c r="E6" s="13"/>
      <c r="F6" s="13"/>
    </row>
    <row r="7" customFormat="false" ht="23.85" hidden="false" customHeight="false" outlineLevel="0" collapsed="false">
      <c r="A7" s="19" t="s">
        <v>435</v>
      </c>
      <c r="B7" s="13" t="s">
        <v>436</v>
      </c>
      <c r="C7" s="13"/>
      <c r="D7" s="13"/>
      <c r="E7" s="13"/>
      <c r="F7" s="13"/>
    </row>
    <row r="8" customFormat="false" ht="23.85" hidden="false" customHeight="false" outlineLevel="0" collapsed="false">
      <c r="A8" s="13" t="s">
        <v>437</v>
      </c>
      <c r="B8" s="13" t="s">
        <v>438</v>
      </c>
      <c r="C8" s="13"/>
      <c r="D8" s="13"/>
      <c r="E8" s="13"/>
      <c r="F8" s="13"/>
    </row>
    <row r="9" customFormat="false" ht="15" hidden="false" customHeight="false" outlineLevel="0" collapsed="false">
      <c r="A9" s="13"/>
      <c r="B9" s="13"/>
      <c r="C9" s="13"/>
      <c r="D9" s="13"/>
      <c r="E9" s="13"/>
      <c r="F9" s="13"/>
    </row>
    <row r="10" customFormat="false" ht="15" hidden="false" customHeight="false" outlineLevel="0" collapsed="false">
      <c r="A10" s="12" t="s">
        <v>182</v>
      </c>
      <c r="B10" s="12" t="s">
        <v>183</v>
      </c>
      <c r="C10" s="12" t="s">
        <v>184</v>
      </c>
      <c r="D10" s="12" t="s">
        <v>185</v>
      </c>
      <c r="E10" s="12" t="s">
        <v>193</v>
      </c>
      <c r="F10" s="12" t="s">
        <v>199</v>
      </c>
    </row>
    <row r="11" customFormat="false" ht="15" hidden="false" customHeight="false" outlineLevel="0" collapsed="false">
      <c r="A11" s="13" t="s">
        <v>203</v>
      </c>
      <c r="B11" s="13" t="s">
        <v>204</v>
      </c>
      <c r="C11" s="13" t="s">
        <v>32</v>
      </c>
      <c r="D11" s="13" t="s">
        <v>205</v>
      </c>
      <c r="E11" s="13" t="n">
        <f aca="false">Assessments!M2</f>
        <v>62</v>
      </c>
      <c r="F11" s="13" t="str">
        <f aca="false">Assessments!S2</f>
        <v>High</v>
      </c>
    </row>
    <row r="12" customFormat="false" ht="15" hidden="false" customHeight="false" outlineLevel="0" collapsed="false">
      <c r="A12" s="13" t="s">
        <v>209</v>
      </c>
      <c r="B12" s="13" t="s">
        <v>210</v>
      </c>
      <c r="C12" s="13" t="s">
        <v>32</v>
      </c>
      <c r="D12" s="13" t="s">
        <v>205</v>
      </c>
      <c r="E12" s="13" t="n">
        <f aca="false">Assessments!M3</f>
        <v>88</v>
      </c>
      <c r="F12" s="13" t="str">
        <f aca="false">Assessments!S3</f>
        <v>Critical</v>
      </c>
    </row>
    <row r="13" customFormat="false" ht="15" hidden="false" customHeight="false" outlineLevel="0" collapsed="false">
      <c r="A13" s="13" t="s">
        <v>213</v>
      </c>
      <c r="B13" s="13" t="s">
        <v>214</v>
      </c>
      <c r="C13" s="13" t="s">
        <v>32</v>
      </c>
      <c r="D13" s="13" t="s">
        <v>205</v>
      </c>
      <c r="E13" s="13" t="n">
        <f aca="false">Assessments!M4</f>
        <v>23</v>
      </c>
      <c r="F13" s="13" t="str">
        <f aca="false">Assessments!S4</f>
        <v>Low</v>
      </c>
    </row>
    <row r="14" customFormat="false" ht="15" hidden="false" customHeight="false" outlineLevel="0" collapsed="false">
      <c r="A14" s="13" t="s">
        <v>217</v>
      </c>
      <c r="B14" s="13" t="s">
        <v>218</v>
      </c>
      <c r="C14" s="13" t="s">
        <v>32</v>
      </c>
      <c r="D14" s="13" t="s">
        <v>205</v>
      </c>
      <c r="E14" s="13" t="n">
        <f aca="false">Assessments!M5</f>
        <v>64</v>
      </c>
      <c r="F14" s="13" t="str">
        <f aca="false">Assessments!S5</f>
        <v>Critical</v>
      </c>
    </row>
    <row r="15" customFormat="false" ht="15" hidden="false" customHeight="false" outlineLevel="0" collapsed="false">
      <c r="A15" s="13" t="s">
        <v>221</v>
      </c>
      <c r="B15" s="13" t="s">
        <v>222</v>
      </c>
      <c r="C15" s="13" t="s">
        <v>33</v>
      </c>
      <c r="D15" s="13" t="s">
        <v>223</v>
      </c>
      <c r="E15" s="13" t="n">
        <f aca="false">Assessments!M6</f>
        <v>62</v>
      </c>
      <c r="F15" s="13" t="str">
        <f aca="false">Assessments!S6</f>
        <v>High</v>
      </c>
    </row>
    <row r="16" customFormat="false" ht="15" hidden="false" customHeight="false" outlineLevel="0" collapsed="false">
      <c r="A16" s="13" t="s">
        <v>226</v>
      </c>
      <c r="B16" s="13" t="s">
        <v>227</v>
      </c>
      <c r="C16" s="13" t="s">
        <v>33</v>
      </c>
      <c r="D16" s="13" t="s">
        <v>223</v>
      </c>
      <c r="E16" s="13" t="n">
        <f aca="false">Assessments!M7</f>
        <v>51</v>
      </c>
      <c r="F16" s="13" t="str">
        <f aca="false">Assessments!S7</f>
        <v>Medium</v>
      </c>
    </row>
    <row r="17" customFormat="false" ht="15" hidden="false" customHeight="false" outlineLevel="0" collapsed="false">
      <c r="A17" s="13" t="s">
        <v>230</v>
      </c>
      <c r="B17" s="13" t="s">
        <v>231</v>
      </c>
      <c r="C17" s="13" t="s">
        <v>33</v>
      </c>
      <c r="D17" s="13" t="s">
        <v>223</v>
      </c>
      <c r="E17" s="13" t="n">
        <f aca="false">Assessments!M8</f>
        <v>20</v>
      </c>
      <c r="F17" s="13" t="str">
        <f aca="false">Assessments!S8</f>
        <v>Low</v>
      </c>
    </row>
    <row r="18" customFormat="false" ht="15" hidden="false" customHeight="false" outlineLevel="0" collapsed="false">
      <c r="A18" s="13" t="s">
        <v>234</v>
      </c>
      <c r="B18" s="13" t="s">
        <v>235</v>
      </c>
      <c r="C18" s="13" t="s">
        <v>34</v>
      </c>
      <c r="D18" s="13" t="s">
        <v>236</v>
      </c>
      <c r="E18" s="13" t="n">
        <f aca="false">Assessments!M9</f>
        <v>82</v>
      </c>
      <c r="F18" s="13" t="str">
        <f aca="false">Assessments!S9</f>
        <v>Critical</v>
      </c>
    </row>
    <row r="19" customFormat="false" ht="15" hidden="false" customHeight="false" outlineLevel="0" collapsed="false">
      <c r="A19" s="13" t="s">
        <v>239</v>
      </c>
      <c r="B19" s="13" t="s">
        <v>240</v>
      </c>
      <c r="C19" s="13" t="s">
        <v>34</v>
      </c>
      <c r="D19" s="13" t="s">
        <v>236</v>
      </c>
      <c r="E19" s="13" t="n">
        <f aca="false">Assessments!M10</f>
        <v>43</v>
      </c>
      <c r="F19" s="13" t="str">
        <f aca="false">Assessments!S10</f>
        <v>Medium</v>
      </c>
    </row>
    <row r="20" customFormat="false" ht="15" hidden="false" customHeight="false" outlineLevel="0" collapsed="false">
      <c r="A20" s="13" t="s">
        <v>243</v>
      </c>
      <c r="B20" s="13" t="s">
        <v>244</v>
      </c>
      <c r="C20" s="13" t="s">
        <v>34</v>
      </c>
      <c r="D20" s="13" t="s">
        <v>236</v>
      </c>
      <c r="E20" s="13" t="n">
        <f aca="false">Assessments!M11</f>
        <v>32</v>
      </c>
      <c r="F20" s="13" t="str">
        <f aca="false">Assessments!S11</f>
        <v>Low</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8"/>
    <col collapsed="false" customWidth="true" hidden="false" outlineLevel="0" max="3" min="3" style="0" width="26"/>
    <col collapsed="false" customWidth="true" hidden="false" outlineLevel="0" max="4" min="4" style="0" width="28"/>
    <col collapsed="false" customWidth="true" hidden="false" outlineLevel="0" max="5" min="5" style="0" width="16"/>
    <col collapsed="false" customWidth="true" hidden="false" outlineLevel="0" max="6" min="6" style="0" width="52"/>
    <col collapsed="false" customWidth="true" hidden="false" outlineLevel="0" max="7" min="7" style="0" width="28"/>
    <col collapsed="false" customWidth="true" hidden="false" outlineLevel="0" max="8" min="8" style="0" width="56"/>
    <col collapsed="false" customWidth="true" hidden="false" outlineLevel="0" max="9" min="9" style="0" width="48"/>
    <col collapsed="false" customWidth="true" hidden="false" outlineLevel="0" max="10" min="10" style="0" width="12"/>
  </cols>
  <sheetData>
    <row r="1" customFormat="false" ht="23.85" hidden="false" customHeight="false" outlineLevel="0" collapsed="false">
      <c r="A1" s="1" t="s">
        <v>439</v>
      </c>
      <c r="B1" s="1" t="s">
        <v>440</v>
      </c>
      <c r="C1" s="1" t="s">
        <v>441</v>
      </c>
      <c r="D1" s="1" t="s">
        <v>442</v>
      </c>
      <c r="E1" s="1" t="s">
        <v>443</v>
      </c>
      <c r="F1" s="1" t="s">
        <v>444</v>
      </c>
      <c r="G1" s="1" t="s">
        <v>445</v>
      </c>
      <c r="H1" s="1" t="s">
        <v>446</v>
      </c>
      <c r="I1" s="1" t="s">
        <v>447</v>
      </c>
      <c r="J1" s="1" t="s">
        <v>448</v>
      </c>
    </row>
    <row r="2" customFormat="false" ht="23.85" hidden="false" customHeight="false" outlineLevel="0" collapsed="false">
      <c r="A2" s="3" t="s">
        <v>449</v>
      </c>
      <c r="B2" s="3" t="s">
        <v>450</v>
      </c>
      <c r="C2" s="3" t="s">
        <v>451</v>
      </c>
      <c r="D2" s="3" t="s">
        <v>452</v>
      </c>
      <c r="E2" s="3" t="s">
        <v>453</v>
      </c>
      <c r="F2" s="3" t="s">
        <v>454</v>
      </c>
      <c r="G2" s="3" t="s">
        <v>455</v>
      </c>
      <c r="H2" s="3" t="s">
        <v>456</v>
      </c>
      <c r="I2" s="3" t="s">
        <v>457</v>
      </c>
      <c r="J2" s="3" t="s">
        <v>27</v>
      </c>
    </row>
    <row r="3" customFormat="false" ht="23.85" hidden="false" customHeight="false" outlineLevel="0" collapsed="false">
      <c r="A3" s="3" t="s">
        <v>458</v>
      </c>
      <c r="B3" s="3" t="s">
        <v>459</v>
      </c>
      <c r="C3" s="3" t="s">
        <v>460</v>
      </c>
      <c r="D3" s="3" t="s">
        <v>461</v>
      </c>
      <c r="E3" s="3" t="s">
        <v>453</v>
      </c>
      <c r="F3" s="3" t="s">
        <v>462</v>
      </c>
      <c r="G3" s="3" t="s">
        <v>463</v>
      </c>
      <c r="H3" s="3" t="s">
        <v>464</v>
      </c>
      <c r="I3" s="3" t="s">
        <v>465</v>
      </c>
      <c r="J3" s="3" t="s">
        <v>27</v>
      </c>
    </row>
    <row r="4" customFormat="false" ht="35.05" hidden="false" customHeight="false" outlineLevel="0" collapsed="false">
      <c r="A4" s="3" t="s">
        <v>466</v>
      </c>
      <c r="B4" s="3" t="s">
        <v>467</v>
      </c>
      <c r="C4" s="3" t="s">
        <v>460</v>
      </c>
      <c r="D4" s="3" t="s">
        <v>468</v>
      </c>
      <c r="E4" s="3" t="s">
        <v>453</v>
      </c>
      <c r="F4" s="3" t="s">
        <v>469</v>
      </c>
      <c r="G4" s="3" t="s">
        <v>455</v>
      </c>
      <c r="H4" s="3" t="s">
        <v>470</v>
      </c>
      <c r="I4" s="3" t="s">
        <v>471</v>
      </c>
      <c r="J4" s="3" t="s">
        <v>27</v>
      </c>
    </row>
    <row r="5" customFormat="false" ht="23.85" hidden="false" customHeight="false" outlineLevel="0" collapsed="false">
      <c r="A5" s="3" t="s">
        <v>472</v>
      </c>
      <c r="B5" s="3" t="s">
        <v>473</v>
      </c>
      <c r="C5" s="3" t="s">
        <v>474</v>
      </c>
      <c r="D5" s="3" t="s">
        <v>475</v>
      </c>
      <c r="E5" s="3" t="s">
        <v>453</v>
      </c>
      <c r="F5" s="3" t="s">
        <v>476</v>
      </c>
      <c r="G5" s="3" t="s">
        <v>455</v>
      </c>
      <c r="H5" s="3" t="s">
        <v>477</v>
      </c>
      <c r="I5" s="3" t="s">
        <v>478</v>
      </c>
      <c r="J5" s="3" t="s">
        <v>27</v>
      </c>
    </row>
    <row r="6" customFormat="false" ht="23.85" hidden="false" customHeight="false" outlineLevel="0" collapsed="false">
      <c r="A6" s="3" t="s">
        <v>479</v>
      </c>
      <c r="B6" s="3" t="s">
        <v>480</v>
      </c>
      <c r="C6" s="3" t="s">
        <v>481</v>
      </c>
      <c r="D6" s="3" t="s">
        <v>482</v>
      </c>
      <c r="E6" s="3" t="s">
        <v>483</v>
      </c>
      <c r="F6" s="3" t="s">
        <v>484</v>
      </c>
      <c r="G6" s="3" t="s">
        <v>485</v>
      </c>
      <c r="H6" s="3" t="s">
        <v>486</v>
      </c>
      <c r="I6" s="3" t="s">
        <v>487</v>
      </c>
      <c r="J6" s="3" t="s">
        <v>27</v>
      </c>
    </row>
    <row r="7" customFormat="false" ht="35.05" hidden="false" customHeight="false" outlineLevel="0" collapsed="false">
      <c r="A7" s="3" t="s">
        <v>488</v>
      </c>
      <c r="B7" s="3" t="s">
        <v>489</v>
      </c>
      <c r="C7" s="3" t="s">
        <v>490</v>
      </c>
      <c r="D7" s="3" t="s">
        <v>482</v>
      </c>
      <c r="E7" s="3" t="s">
        <v>491</v>
      </c>
      <c r="F7" s="3" t="s">
        <v>492</v>
      </c>
      <c r="G7" s="3" t="s">
        <v>485</v>
      </c>
      <c r="H7" s="3" t="s">
        <v>493</v>
      </c>
      <c r="I7" s="3" t="s">
        <v>494</v>
      </c>
      <c r="J7" s="3" t="s">
        <v>28</v>
      </c>
    </row>
    <row r="8" customFormat="false" ht="23.85" hidden="false" customHeight="false" outlineLevel="0" collapsed="false">
      <c r="A8" s="3" t="s">
        <v>495</v>
      </c>
      <c r="B8" s="3" t="s">
        <v>496</v>
      </c>
      <c r="C8" s="3" t="s">
        <v>497</v>
      </c>
      <c r="D8" s="3" t="s">
        <v>482</v>
      </c>
      <c r="E8" s="3" t="s">
        <v>491</v>
      </c>
      <c r="F8" s="3" t="s">
        <v>498</v>
      </c>
      <c r="G8" s="3" t="s">
        <v>485</v>
      </c>
      <c r="H8" s="3" t="s">
        <v>499</v>
      </c>
      <c r="I8" s="3" t="s">
        <v>500</v>
      </c>
      <c r="J8" s="3" t="s">
        <v>28</v>
      </c>
    </row>
    <row r="9" customFormat="false" ht="23.85" hidden="false" customHeight="false" outlineLevel="0" collapsed="false">
      <c r="A9" s="3" t="s">
        <v>501</v>
      </c>
      <c r="B9" s="3" t="s">
        <v>502</v>
      </c>
      <c r="C9" s="3" t="s">
        <v>451</v>
      </c>
      <c r="D9" s="3" t="s">
        <v>503</v>
      </c>
      <c r="E9" s="3" t="s">
        <v>453</v>
      </c>
      <c r="F9" s="3" t="s">
        <v>504</v>
      </c>
      <c r="G9" s="3" t="s">
        <v>505</v>
      </c>
      <c r="H9" s="3" t="s">
        <v>506</v>
      </c>
      <c r="I9" s="3" t="s">
        <v>507</v>
      </c>
      <c r="J9" s="3" t="s">
        <v>27</v>
      </c>
    </row>
    <row r="10" customFormat="false" ht="23.85" hidden="false" customHeight="false" outlineLevel="0" collapsed="false">
      <c r="A10" s="3" t="s">
        <v>508</v>
      </c>
      <c r="B10" s="3" t="s">
        <v>509</v>
      </c>
      <c r="C10" s="3" t="s">
        <v>510</v>
      </c>
      <c r="D10" s="3" t="s">
        <v>511</v>
      </c>
      <c r="E10" s="3" t="s">
        <v>512</v>
      </c>
      <c r="F10" s="3" t="s">
        <v>513</v>
      </c>
      <c r="G10" s="3" t="s">
        <v>514</v>
      </c>
      <c r="H10" s="3" t="s">
        <v>515</v>
      </c>
      <c r="I10" s="3" t="s">
        <v>516</v>
      </c>
      <c r="J10" s="3" t="s">
        <v>27</v>
      </c>
    </row>
    <row r="11" customFormat="false" ht="15" hidden="false" customHeight="false" outlineLevel="0" collapsed="false">
      <c r="A11" s="3" t="s">
        <v>517</v>
      </c>
      <c r="B11" s="3" t="s">
        <v>518</v>
      </c>
      <c r="C11" s="3" t="s">
        <v>519</v>
      </c>
      <c r="D11" s="3" t="s">
        <v>520</v>
      </c>
      <c r="E11" s="3" t="s">
        <v>512</v>
      </c>
      <c r="F11" s="3" t="s">
        <v>513</v>
      </c>
      <c r="G11" s="3" t="s">
        <v>521</v>
      </c>
      <c r="H11" s="3" t="s">
        <v>522</v>
      </c>
      <c r="I11" s="3" t="s">
        <v>523</v>
      </c>
      <c r="J11" s="3" t="s">
        <v>27</v>
      </c>
    </row>
    <row r="13" customFormat="false" ht="15" hidden="false" customHeight="false" outlineLevel="0" collapsed="false">
      <c r="A13" s="20" t="s">
        <v>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0"/>
    <col collapsed="false" customWidth="true" hidden="false" outlineLevel="0" max="3" min="3" style="0" width="24"/>
    <col collapsed="false" customWidth="true" hidden="false" outlineLevel="0" max="4" min="4" style="0" width="26"/>
    <col collapsed="false" customWidth="true" hidden="false" outlineLevel="0" max="5" min="5" style="0" width="20"/>
    <col collapsed="false" customWidth="true" hidden="false" outlineLevel="0" max="6" min="6" style="0" width="36"/>
  </cols>
  <sheetData>
    <row r="1" customFormat="false" ht="15" hidden="false" customHeight="false" outlineLevel="0" collapsed="false">
      <c r="A1" s="1" t="s">
        <v>525</v>
      </c>
      <c r="B1" s="1" t="s">
        <v>526</v>
      </c>
      <c r="C1" s="1" t="s">
        <v>527</v>
      </c>
      <c r="D1" s="1" t="s">
        <v>528</v>
      </c>
      <c r="E1" s="1" t="s">
        <v>529</v>
      </c>
      <c r="F1" s="1" t="s">
        <v>530</v>
      </c>
    </row>
    <row r="2" customFormat="false" ht="15" hidden="false" customHeight="false" outlineLevel="0" collapsed="false">
      <c r="A2" s="3" t="s">
        <v>531</v>
      </c>
      <c r="B2" s="3" t="s">
        <v>532</v>
      </c>
      <c r="C2" s="3" t="s">
        <v>533</v>
      </c>
      <c r="D2" s="3" t="s">
        <v>534</v>
      </c>
      <c r="E2" s="3"/>
      <c r="F2" s="3"/>
    </row>
    <row r="3" customFormat="false" ht="15" hidden="false" customHeight="false" outlineLevel="0" collapsed="false">
      <c r="A3" s="3" t="s">
        <v>535</v>
      </c>
      <c r="B3" s="3" t="s">
        <v>536</v>
      </c>
      <c r="C3" s="3" t="s">
        <v>533</v>
      </c>
      <c r="D3" s="3" t="s">
        <v>534</v>
      </c>
      <c r="E3" s="3"/>
      <c r="F3" s="3"/>
    </row>
    <row r="4" customFormat="false" ht="15" hidden="false" customHeight="false" outlineLevel="0" collapsed="false">
      <c r="A4" s="3" t="s">
        <v>537</v>
      </c>
      <c r="B4" s="3" t="s">
        <v>538</v>
      </c>
      <c r="C4" s="3" t="s">
        <v>533</v>
      </c>
      <c r="D4" s="3" t="s">
        <v>534</v>
      </c>
      <c r="E4" s="3"/>
      <c r="F4" s="3"/>
    </row>
    <row r="5" customFormat="false" ht="23.85" hidden="false" customHeight="false" outlineLevel="0" collapsed="false">
      <c r="A5" s="3" t="s">
        <v>539</v>
      </c>
      <c r="B5" s="3" t="s">
        <v>540</v>
      </c>
      <c r="C5" s="3" t="s">
        <v>533</v>
      </c>
      <c r="D5" s="3" t="s">
        <v>534</v>
      </c>
      <c r="E5" s="3"/>
      <c r="F5" s="3"/>
    </row>
    <row r="6" customFormat="false" ht="15" hidden="false" customHeight="false" outlineLevel="0" collapsed="false">
      <c r="A6" s="3" t="s">
        <v>541</v>
      </c>
      <c r="B6" s="3" t="s">
        <v>542</v>
      </c>
      <c r="C6" s="3" t="s">
        <v>533</v>
      </c>
      <c r="D6" s="3" t="s">
        <v>534</v>
      </c>
      <c r="E6" s="3"/>
      <c r="F6" s="3"/>
    </row>
    <row r="7" customFormat="false" ht="23.85" hidden="false" customHeight="false" outlineLevel="0" collapsed="false">
      <c r="A7" s="3" t="s">
        <v>543</v>
      </c>
      <c r="B7" s="3" t="s">
        <v>544</v>
      </c>
      <c r="C7" s="3" t="s">
        <v>545</v>
      </c>
      <c r="D7" s="3" t="s">
        <v>534</v>
      </c>
      <c r="E7" s="3"/>
      <c r="F7" s="3"/>
    </row>
    <row r="8" customFormat="false" ht="15" hidden="false" customHeight="false" outlineLevel="0" collapsed="false">
      <c r="A8" s="3" t="s">
        <v>546</v>
      </c>
      <c r="B8" s="3" t="s">
        <v>547</v>
      </c>
      <c r="C8" s="3" t="s">
        <v>548</v>
      </c>
      <c r="D8" s="3" t="s">
        <v>534</v>
      </c>
      <c r="E8" s="3"/>
      <c r="F8" s="3"/>
    </row>
    <row r="9" customFormat="false" ht="15" hidden="false" customHeight="false" outlineLevel="0" collapsed="false">
      <c r="A9" s="3" t="s">
        <v>549</v>
      </c>
      <c r="B9" s="3" t="s">
        <v>550</v>
      </c>
      <c r="C9" s="3" t="s">
        <v>533</v>
      </c>
      <c r="D9" s="3" t="s">
        <v>534</v>
      </c>
      <c r="E9" s="3"/>
      <c r="F9" s="3"/>
    </row>
    <row r="10" customFormat="false" ht="15" hidden="false" customHeight="false" outlineLevel="0" collapsed="false">
      <c r="A10" s="3" t="s">
        <v>551</v>
      </c>
      <c r="B10" s="3" t="s">
        <v>552</v>
      </c>
      <c r="C10" s="3" t="s">
        <v>553</v>
      </c>
      <c r="D10" s="3" t="s">
        <v>534</v>
      </c>
      <c r="E10" s="3"/>
      <c r="F10" s="3"/>
    </row>
    <row r="11" customFormat="false" ht="15" hidden="false" customHeight="false" outlineLevel="0" collapsed="false">
      <c r="A11" s="3" t="s">
        <v>554</v>
      </c>
      <c r="B11" s="3" t="s">
        <v>555</v>
      </c>
      <c r="C11" s="3" t="s">
        <v>533</v>
      </c>
      <c r="D11" s="3" t="s">
        <v>534</v>
      </c>
      <c r="E11" s="3"/>
      <c r="F11" s="3"/>
    </row>
    <row r="13" customFormat="false" ht="15" hidden="false" customHeight="false" outlineLevel="0" collapsed="false">
      <c r="A13" s="4" t="s">
        <v>556</v>
      </c>
      <c r="B13" s="4" t="s">
        <v>557</v>
      </c>
      <c r="C13" s="4" t="s">
        <v>558</v>
      </c>
      <c r="D13" s="4" t="s">
        <v>559</v>
      </c>
      <c r="E13" s="4" t="s">
        <v>560</v>
      </c>
      <c r="F13" s="4"/>
    </row>
    <row r="14" customFormat="false" ht="15" hidden="false" customHeight="false" outlineLevel="0" collapsed="false">
      <c r="B14" s="0" t="s">
        <v>561</v>
      </c>
      <c r="E14" s="0" t="s">
        <v>562</v>
      </c>
    </row>
    <row r="15" customFormat="false" ht="15" hidden="false" customHeight="false" outlineLevel="0" collapsed="false">
      <c r="B15" s="0" t="s">
        <v>563</v>
      </c>
      <c r="E15" s="0" t="s">
        <v>562</v>
      </c>
    </row>
    <row r="16" customFormat="false" ht="15" hidden="false" customHeight="false" outlineLevel="0" collapsed="false">
      <c r="B16" s="0" t="s">
        <v>564</v>
      </c>
      <c r="E16" s="0" t="s">
        <v>562</v>
      </c>
    </row>
    <row r="17" customFormat="false" ht="15" hidden="false" customHeight="false" outlineLevel="0" collapsed="false">
      <c r="B17" s="0" t="s">
        <v>565</v>
      </c>
      <c r="E17" s="0" t="s">
        <v>562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10"/>
    <col collapsed="false" customWidth="true" hidden="false" outlineLevel="0" max="4" min="4" style="0" width="28"/>
  </cols>
  <sheetData>
    <row r="1" customFormat="false" ht="15" hidden="false" customHeight="false" outlineLevel="0" collapsed="false">
      <c r="A1" s="1" t="s">
        <v>525</v>
      </c>
      <c r="B1" s="1" t="s">
        <v>566</v>
      </c>
      <c r="C1" s="1" t="s">
        <v>567</v>
      </c>
      <c r="D1" s="1" t="s">
        <v>568</v>
      </c>
    </row>
    <row r="2" customFormat="false" ht="15" hidden="false" customHeight="false" outlineLevel="0" collapsed="false">
      <c r="A2" s="3" t="n">
        <v>1</v>
      </c>
      <c r="B2" s="3" t="s">
        <v>569</v>
      </c>
      <c r="C2" s="3" t="s">
        <v>570</v>
      </c>
      <c r="D2" s="3" t="s">
        <v>571</v>
      </c>
    </row>
    <row r="3" customFormat="false" ht="15" hidden="false" customHeight="false" outlineLevel="0" collapsed="false">
      <c r="A3" s="3" t="n">
        <v>2</v>
      </c>
      <c r="B3" s="3" t="s">
        <v>572</v>
      </c>
      <c r="C3" s="3" t="s">
        <v>573</v>
      </c>
      <c r="D3" s="3" t="s">
        <v>574</v>
      </c>
    </row>
    <row r="4" customFormat="false" ht="15" hidden="false" customHeight="false" outlineLevel="0" collapsed="false">
      <c r="A4" s="3" t="n">
        <v>3</v>
      </c>
      <c r="B4" s="3" t="s">
        <v>575</v>
      </c>
      <c r="C4" s="3" t="s">
        <v>576</v>
      </c>
      <c r="D4" s="3" t="s">
        <v>577</v>
      </c>
    </row>
    <row r="5" customFormat="false" ht="15" hidden="false" customHeight="false" outlineLevel="0" collapsed="false">
      <c r="A5" s="3" t="n">
        <v>4</v>
      </c>
      <c r="B5" s="3" t="s">
        <v>578</v>
      </c>
      <c r="C5" s="3" t="s">
        <v>579</v>
      </c>
      <c r="D5" s="3" t="s">
        <v>580</v>
      </c>
    </row>
    <row r="6" customFormat="false" ht="15" hidden="false" customHeight="false" outlineLevel="0" collapsed="false">
      <c r="A6" s="3" t="n">
        <v>5</v>
      </c>
      <c r="B6" s="3" t="s">
        <v>578</v>
      </c>
      <c r="C6" s="3" t="s">
        <v>581</v>
      </c>
      <c r="D6" s="3" t="s">
        <v>580</v>
      </c>
    </row>
    <row r="7" customFormat="false" ht="15" hidden="false" customHeight="false" outlineLevel="0" collapsed="false">
      <c r="A7" s="3" t="n">
        <v>6</v>
      </c>
      <c r="B7" s="3" t="s">
        <v>582</v>
      </c>
      <c r="C7" s="3" t="s">
        <v>583</v>
      </c>
      <c r="D7" s="3" t="s">
        <v>584</v>
      </c>
    </row>
    <row r="8" customFormat="false" ht="23.85" hidden="false" customHeight="false" outlineLevel="0" collapsed="false">
      <c r="A8" s="3" t="n">
        <v>7</v>
      </c>
      <c r="B8" s="3" t="s">
        <v>585</v>
      </c>
      <c r="C8" s="3" t="s">
        <v>586</v>
      </c>
      <c r="D8" s="3" t="s">
        <v>587</v>
      </c>
    </row>
    <row r="9" customFormat="false" ht="15" hidden="false" customHeight="false" outlineLevel="0" collapsed="false">
      <c r="A9" s="3" t="n">
        <v>8</v>
      </c>
      <c r="B9" s="3" t="s">
        <v>588</v>
      </c>
      <c r="C9" s="3" t="s">
        <v>589</v>
      </c>
      <c r="D9" s="3" t="s">
        <v>590</v>
      </c>
    </row>
    <row r="10" customFormat="false" ht="15" hidden="false" customHeight="false" outlineLevel="0" collapsed="false">
      <c r="A10" s="3" t="n">
        <v>9</v>
      </c>
      <c r="B10" s="3" t="s">
        <v>591</v>
      </c>
      <c r="C10" s="3" t="s">
        <v>592</v>
      </c>
      <c r="D10" s="3" t="s">
        <v>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2026-10-25T13:30:25Z</dcterms:created>
  <dc:creator>openpyxl</dc:creator>
  <dc:description/>
  <dc:language>en-US</dc:language>
  <cp:lastModifiedBy/>
  <dcterms:modified xsi:type="dcterms:W3CDTF">2026-10-25T13:30:25Z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